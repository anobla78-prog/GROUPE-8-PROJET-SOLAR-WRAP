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levonlara/Downloads/"/>
    </mc:Choice>
  </mc:AlternateContent>
  <xr:revisionPtr revIDLastSave="0" documentId="13_ncr:1_{08DD8D8C-86AB-784A-ABD7-30E86F4EC750}" xr6:coauthVersionLast="47" xr6:coauthVersionMax="47" xr10:uidLastSave="{00000000-0000-0000-0000-000000000000}"/>
  <bookViews>
    <workbookView xWindow="0" yWindow="500" windowWidth="28800" windowHeight="16100" activeTab="5" xr2:uid="{00000000-000D-0000-FFFF-FFFF00000000}"/>
  </bookViews>
  <sheets>
    <sheet name="Hypothèses" sheetId="1" r:id="rId1"/>
    <sheet name="Ventes &amp; Marge" sheetId="2" r:id="rId2"/>
    <sheet name="P&amp;L" sheetId="3" r:id="rId3"/>
    <sheet name="Cash Flow" sheetId="4" r:id="rId4"/>
    <sheet name="ROI Client" sheetId="5" r:id="rId5"/>
    <sheet name="Dashboard Ju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6" l="1"/>
  <c r="G4" i="6"/>
  <c r="E4" i="6"/>
  <c r="A4" i="6"/>
  <c r="C15" i="5"/>
  <c r="C9" i="5"/>
  <c r="C8" i="5"/>
  <c r="C6" i="5"/>
  <c r="C5" i="5"/>
  <c r="C7" i="5" s="1"/>
  <c r="C10" i="5" s="1"/>
  <c r="C4" i="5"/>
  <c r="C11" i="5" s="1"/>
  <c r="C4" i="6" s="1"/>
  <c r="I14" i="4"/>
  <c r="H14" i="4"/>
  <c r="G14" i="4"/>
  <c r="F14" i="4"/>
  <c r="E14" i="4"/>
  <c r="D14" i="4"/>
  <c r="C14" i="4"/>
  <c r="C13" i="4"/>
  <c r="I6" i="4"/>
  <c r="H6" i="4"/>
  <c r="G6" i="4"/>
  <c r="F6" i="4"/>
  <c r="E6" i="4"/>
  <c r="D6" i="4"/>
  <c r="C6" i="4"/>
  <c r="I16" i="3"/>
  <c r="H16" i="3"/>
  <c r="G16" i="3"/>
  <c r="F16" i="3"/>
  <c r="E16" i="3"/>
  <c r="D16" i="3"/>
  <c r="C16" i="3"/>
  <c r="I12" i="3"/>
  <c r="H12" i="3"/>
  <c r="G12" i="3"/>
  <c r="F12" i="3"/>
  <c r="E12" i="3"/>
  <c r="D12" i="3"/>
  <c r="C12" i="3"/>
  <c r="I11" i="3"/>
  <c r="H11" i="3"/>
  <c r="G11" i="3"/>
  <c r="F11" i="3"/>
  <c r="E11" i="3"/>
  <c r="D11" i="3"/>
  <c r="C11" i="3"/>
  <c r="I10" i="3"/>
  <c r="H10" i="3"/>
  <c r="G10" i="3"/>
  <c r="F10" i="3"/>
  <c r="E10" i="3"/>
  <c r="D10" i="3"/>
  <c r="C10" i="3"/>
  <c r="I9" i="3"/>
  <c r="I13" i="3" s="1"/>
  <c r="H9" i="3"/>
  <c r="H13" i="3" s="1"/>
  <c r="G9" i="3"/>
  <c r="G13" i="3" s="1"/>
  <c r="F9" i="3"/>
  <c r="F13" i="3" s="1"/>
  <c r="E9" i="3"/>
  <c r="E13" i="3" s="1"/>
  <c r="D9" i="3"/>
  <c r="D13" i="3" s="1"/>
  <c r="C9" i="3"/>
  <c r="C13" i="3" s="1"/>
  <c r="I16" i="2"/>
  <c r="E16" i="2"/>
  <c r="I14" i="2"/>
  <c r="I18" i="2" s="1"/>
  <c r="H14" i="2"/>
  <c r="H18" i="2" s="1"/>
  <c r="G14" i="2"/>
  <c r="G18" i="2" s="1"/>
  <c r="F14" i="2"/>
  <c r="F18" i="2" s="1"/>
  <c r="E14" i="2"/>
  <c r="E18" i="2" s="1"/>
  <c r="D14" i="2"/>
  <c r="D18" i="2" s="1"/>
  <c r="C14" i="2"/>
  <c r="C18" i="2" s="1"/>
  <c r="I12" i="2"/>
  <c r="H12" i="2"/>
  <c r="G12" i="2"/>
  <c r="F12" i="2"/>
  <c r="E12" i="2"/>
  <c r="D12" i="2"/>
  <c r="C12" i="2"/>
  <c r="I11" i="2"/>
  <c r="H11" i="2"/>
  <c r="G11" i="2"/>
  <c r="F11" i="2"/>
  <c r="E11" i="2"/>
  <c r="D11" i="2"/>
  <c r="C11" i="2"/>
  <c r="C8" i="2"/>
  <c r="C9" i="2" s="1"/>
  <c r="C10" i="2" s="1"/>
  <c r="C13" i="2" s="1"/>
  <c r="C17" i="2" s="1"/>
  <c r="F6" i="2"/>
  <c r="I5" i="2"/>
  <c r="I6" i="2" s="1"/>
  <c r="H5" i="2"/>
  <c r="G5" i="2"/>
  <c r="F5" i="2"/>
  <c r="E5" i="2"/>
  <c r="E6" i="2" s="1"/>
  <c r="D5" i="2"/>
  <c r="C5" i="2"/>
  <c r="I4" i="2"/>
  <c r="H4" i="2"/>
  <c r="G4" i="2"/>
  <c r="G6" i="2" s="1"/>
  <c r="F4" i="2"/>
  <c r="F16" i="2" s="1"/>
  <c r="E4" i="2"/>
  <c r="D4" i="2"/>
  <c r="C4" i="2"/>
  <c r="C6" i="2" s="1"/>
  <c r="F8" i="4" l="1"/>
  <c r="D7" i="2"/>
  <c r="C15" i="2"/>
  <c r="D16" i="2"/>
  <c r="D6" i="2"/>
  <c r="H16" i="2"/>
  <c r="H6" i="2"/>
  <c r="C16" i="5"/>
  <c r="I8" i="4"/>
  <c r="C16" i="2"/>
  <c r="G16" i="2"/>
  <c r="E8" i="4"/>
  <c r="C5" i="3" l="1"/>
  <c r="C7" i="4"/>
  <c r="H8" i="4"/>
  <c r="D8" i="2"/>
  <c r="D9" i="2" s="1"/>
  <c r="G8" i="4"/>
  <c r="C19" i="2"/>
  <c r="C20" i="2" s="1"/>
  <c r="C21" i="2" s="1"/>
  <c r="C8" i="4"/>
  <c r="D8" i="4"/>
  <c r="E7" i="2" l="1"/>
  <c r="D10" i="2"/>
  <c r="D13" i="2" s="1"/>
  <c r="B15" i="6"/>
  <c r="C9" i="4"/>
  <c r="C10" i="4" s="1"/>
  <c r="C11" i="4" s="1"/>
  <c r="C6" i="3"/>
  <c r="C7" i="3" s="1"/>
  <c r="C8" i="3" l="1"/>
  <c r="C14" i="3"/>
  <c r="D17" i="2"/>
  <c r="D19" i="2" s="1"/>
  <c r="D15" i="2"/>
  <c r="E8" i="2"/>
  <c r="E9" i="2" s="1"/>
  <c r="F7" i="2" l="1"/>
  <c r="E10" i="2"/>
  <c r="E13" i="2" s="1"/>
  <c r="D5" i="3"/>
  <c r="D7" i="4"/>
  <c r="D10" i="4" s="1"/>
  <c r="D11" i="4" s="1"/>
  <c r="D20" i="2"/>
  <c r="D21" i="2" s="1"/>
  <c r="D6" i="3"/>
  <c r="D9" i="4"/>
  <c r="C4" i="4"/>
  <c r="C12" i="4" s="1"/>
  <c r="C15" i="4" s="1"/>
  <c r="D13" i="4" s="1"/>
  <c r="C17" i="3"/>
  <c r="C18" i="3" s="1"/>
  <c r="C21" i="3" s="1"/>
  <c r="B16" i="6"/>
  <c r="C15" i="3"/>
  <c r="E17" i="2" l="1"/>
  <c r="E19" i="2" s="1"/>
  <c r="E15" i="2"/>
  <c r="C15" i="6"/>
  <c r="D7" i="3"/>
  <c r="F8" i="2"/>
  <c r="F9" i="2" s="1"/>
  <c r="G7" i="2" l="1"/>
  <c r="F10" i="2"/>
  <c r="F13" i="2" s="1"/>
  <c r="D14" i="3"/>
  <c r="D8" i="3"/>
  <c r="E7" i="4"/>
  <c r="E20" i="2"/>
  <c r="E21" i="2" s="1"/>
  <c r="E5" i="3"/>
  <c r="E6" i="3"/>
  <c r="E9" i="4"/>
  <c r="D15" i="6" l="1"/>
  <c r="E7" i="3"/>
  <c r="D17" i="3"/>
  <c r="D18" i="3" s="1"/>
  <c r="D21" i="3" s="1"/>
  <c r="D15" i="3"/>
  <c r="D4" i="4"/>
  <c r="D12" i="4" s="1"/>
  <c r="D15" i="4" s="1"/>
  <c r="E13" i="4" s="1"/>
  <c r="C16" i="6"/>
  <c r="F17" i="2"/>
  <c r="F19" i="2" s="1"/>
  <c r="F15" i="2"/>
  <c r="E10" i="4"/>
  <c r="E11" i="4" s="1"/>
  <c r="G8" i="2"/>
  <c r="G9" i="2" s="1"/>
  <c r="H7" i="2" l="1"/>
  <c r="G10" i="2"/>
  <c r="G13" i="2" s="1"/>
  <c r="F20" i="2"/>
  <c r="F21" i="2" s="1"/>
  <c r="F5" i="3"/>
  <c r="F7" i="4"/>
  <c r="E14" i="3"/>
  <c r="E8" i="3"/>
  <c r="F9" i="4"/>
  <c r="F6" i="3"/>
  <c r="F7" i="3" l="1"/>
  <c r="E15" i="6"/>
  <c r="D16" i="6"/>
  <c r="E15" i="3"/>
  <c r="E4" i="4"/>
  <c r="E12" i="4" s="1"/>
  <c r="E15" i="4" s="1"/>
  <c r="F13" i="4" s="1"/>
  <c r="E17" i="3"/>
  <c r="E18" i="3" s="1"/>
  <c r="E21" i="3" s="1"/>
  <c r="G17" i="2"/>
  <c r="G19" i="2" s="1"/>
  <c r="G15" i="2"/>
  <c r="F10" i="4"/>
  <c r="F11" i="4" s="1"/>
  <c r="H8" i="2"/>
  <c r="H9" i="2" s="1"/>
  <c r="I7" i="2" l="1"/>
  <c r="H10" i="2"/>
  <c r="H13" i="2" s="1"/>
  <c r="G9" i="4"/>
  <c r="G6" i="3"/>
  <c r="G7" i="4"/>
  <c r="G20" i="2"/>
  <c r="G21" i="2" s="1"/>
  <c r="G5" i="3"/>
  <c r="F14" i="3"/>
  <c r="F8" i="3"/>
  <c r="F15" i="6" l="1"/>
  <c r="G7" i="3"/>
  <c r="H17" i="2"/>
  <c r="H19" i="2" s="1"/>
  <c r="H15" i="2"/>
  <c r="F15" i="3"/>
  <c r="F17" i="3"/>
  <c r="F18" i="3" s="1"/>
  <c r="F21" i="3" s="1"/>
  <c r="E16" i="6"/>
  <c r="F4" i="4"/>
  <c r="F12" i="4" s="1"/>
  <c r="F15" i="4" s="1"/>
  <c r="G13" i="4" s="1"/>
  <c r="G10" i="4"/>
  <c r="G11" i="4" s="1"/>
  <c r="I8" i="2"/>
  <c r="I9" i="2" s="1"/>
  <c r="I10" i="2" s="1"/>
  <c r="I13" i="2" s="1"/>
  <c r="I17" i="2" l="1"/>
  <c r="I19" i="2" s="1"/>
  <c r="I15" i="2"/>
  <c r="H5" i="3"/>
  <c r="H20" i="2"/>
  <c r="H21" i="2" s="1"/>
  <c r="H7" i="4"/>
  <c r="H6" i="3"/>
  <c r="H9" i="4"/>
  <c r="G8" i="3"/>
  <c r="G14" i="3"/>
  <c r="G15" i="6" l="1"/>
  <c r="H7" i="3"/>
  <c r="I7" i="4"/>
  <c r="I10" i="4" s="1"/>
  <c r="I11" i="4" s="1"/>
  <c r="I5" i="3"/>
  <c r="I20" i="2"/>
  <c r="I21" i="2" s="1"/>
  <c r="G4" i="4"/>
  <c r="G12" i="4" s="1"/>
  <c r="G15" i="4" s="1"/>
  <c r="H13" i="4" s="1"/>
  <c r="F16" i="6"/>
  <c r="G15" i="3"/>
  <c r="G17" i="3"/>
  <c r="G18" i="3" s="1"/>
  <c r="G21" i="3" s="1"/>
  <c r="H10" i="4"/>
  <c r="H11" i="4" s="1"/>
  <c r="I6" i="3"/>
  <c r="I9" i="4"/>
  <c r="H15" i="6" l="1"/>
  <c r="A8" i="6"/>
  <c r="I7" i="3"/>
  <c r="H14" i="3"/>
  <c r="H8" i="3"/>
  <c r="H17" i="3" l="1"/>
  <c r="H18" i="3" s="1"/>
  <c r="H21" i="3" s="1"/>
  <c r="G16" i="6"/>
  <c r="H15" i="3"/>
  <c r="H4" i="4"/>
  <c r="H12" i="4" s="1"/>
  <c r="H15" i="4" s="1"/>
  <c r="I13" i="4" s="1"/>
  <c r="I14" i="3"/>
  <c r="I8" i="3"/>
  <c r="H16" i="6" l="1"/>
  <c r="C8" i="6"/>
  <c r="I15" i="3"/>
  <c r="E8" i="6" s="1"/>
  <c r="I4" i="4"/>
  <c r="I12" i="4" s="1"/>
  <c r="I15" i="4" s="1"/>
  <c r="I17" i="3"/>
  <c r="I18" i="3" s="1"/>
  <c r="I21" i="3" s="1"/>
</calcChain>
</file>

<file path=xl/sharedStrings.xml><?xml version="1.0" encoding="utf-8"?>
<sst xmlns="http://schemas.openxmlformats.org/spreadsheetml/2006/main" count="289" uniqueCount="180">
  <si>
    <t>SOLAR WRAP — Hypothèses financières V3 (Jury)</t>
  </si>
  <si>
    <t>Modèle asset-light : production sous-traitée, réseau d'installation partenaire, priorité au ROI client.</t>
  </si>
  <si>
    <t>A. Hypothèses générales</t>
  </si>
  <si>
    <t>Hypothèse</t>
  </si>
  <si>
    <t>Valeur</t>
  </si>
  <si>
    <t>Unité</t>
  </si>
  <si>
    <t>Statut</t>
  </si>
  <si>
    <t>Source / justification</t>
  </si>
  <si>
    <t>Taux d'IS</t>
  </si>
  <si>
    <t>%</t>
  </si>
  <si>
    <t>Source externe</t>
  </si>
  <si>
    <t>https://entreprendre.service-public.gouv.fr/vosdroits/F23575</t>
  </si>
  <si>
    <t>DSO clients</t>
  </si>
  <si>
    <t>jours</t>
  </si>
  <si>
    <t>Contrats flottes à négocier</t>
  </si>
  <si>
    <t>Stock moyen</t>
  </si>
  <si>
    <t>jours COGS hardware</t>
  </si>
  <si>
    <t>Assemblage / sous-traitance + flux tendus</t>
  </si>
  <si>
    <t>DPO fournisseurs</t>
  </si>
  <si>
    <t>À négocier avec fournisseurs</t>
  </si>
  <si>
    <t>Attrition parc installé</t>
  </si>
  <si>
    <t>% / an</t>
  </si>
  <si>
    <t>Remplacement / fin de vie</t>
  </si>
  <si>
    <t>Marge brute SaaS</t>
  </si>
  <si>
    <t>SOLAR CONTROL</t>
  </si>
  <si>
    <t>Marge brute services</t>
  </si>
  <si>
    <t>Ingénierie / intégration</t>
  </si>
  <si>
    <t>Trésorerie initiale</t>
  </si>
  <si>
    <t>€</t>
  </si>
  <si>
    <t>Capital de départ du modèle</t>
  </si>
  <si>
    <t>Durée amortissement CAPEX</t>
  </si>
  <si>
    <t>années</t>
  </si>
  <si>
    <t>Linéaire simplifié</t>
  </si>
  <si>
    <t>B. Hypothèses annuelles — scénario central</t>
  </si>
  <si>
    <t>Unités vendues</t>
  </si>
  <si>
    <t>véhicules</t>
  </si>
  <si>
    <t>Prix moyen kit + installation</t>
  </si>
  <si>
    <t>€/véhicule</t>
  </si>
  <si>
    <t>COGS complet / véhicule</t>
  </si>
  <si>
    <t>Taux d'attachement SOLAR CONTROL</t>
  </si>
  <si>
    <t>Abonnement SOLAR CONTROL</t>
  </si>
  <si>
    <t>€/véhicule/an</t>
  </si>
  <si>
    <t>Revenus services / ingénierie</t>
  </si>
  <si>
    <t>€/an</t>
  </si>
  <si>
    <t>Effectif moyen</t>
  </si>
  <si>
    <t>ETP</t>
  </si>
  <si>
    <t>Coût chargé moyen / ETP</t>
  </si>
  <si>
    <t>€/ETP/an</t>
  </si>
  <si>
    <t>R&amp;D hors masse salariale</t>
  </si>
  <si>
    <t>Sales &amp; Marketing</t>
  </si>
  <si>
    <t>G&amp;A</t>
  </si>
  <si>
    <t>CAPEX</t>
  </si>
  <si>
    <t>Financement externe</t>
  </si>
  <si>
    <t>C. Économie client — hypothèses</t>
  </si>
  <si>
    <t>Économie de gazole</t>
  </si>
  <si>
    <t>L/an</t>
  </si>
  <si>
    <t>Hypothèse centrale</t>
  </si>
  <si>
    <t>Fourchette Fraunhofer historique 1 500–2 100 L/an</t>
  </si>
  <si>
    <t>Valeur économique gazole HT</t>
  </si>
  <si>
    <t>€/L</t>
  </si>
  <si>
    <t>Hypothèse prudente</t>
  </si>
  <si>
    <t>À actualiser selon pays / flotte</t>
  </si>
  <si>
    <t>Autres économies</t>
  </si>
  <si>
    <t>Batterie auxiliaire / maintenance</t>
  </si>
  <si>
    <t>25 €/mois</t>
  </si>
  <si>
    <t>Prix flotte &gt;100 unités</t>
  </si>
  <si>
    <t>Stratégie commerciale</t>
  </si>
  <si>
    <t>Remise volume</t>
  </si>
  <si>
    <t>SOLAR WRAP — Ventes, parc installé et marge brute</t>
  </si>
  <si>
    <t>Indicateur</t>
  </si>
  <si>
    <t>Prix moyen hardware</t>
  </si>
  <si>
    <t>CA hardware</t>
  </si>
  <si>
    <t>k€</t>
  </si>
  <si>
    <t>Parc actif début</t>
  </si>
  <si>
    <t>Attrition</t>
  </si>
  <si>
    <t>Parc actif fin</t>
  </si>
  <si>
    <t>Parc actif moyen</t>
  </si>
  <si>
    <t>Taux attachement SaaS</t>
  </si>
  <si>
    <t>Fee SaaS annuel</t>
  </si>
  <si>
    <t>CA SOLAR CONTROL</t>
  </si>
  <si>
    <t>CA services / intégration</t>
  </si>
  <si>
    <t>CHIFFRE D'AFFAIRES TOTAL</t>
  </si>
  <si>
    <t>COGS hardware</t>
  </si>
  <si>
    <t>COGS SaaS</t>
  </si>
  <si>
    <t>COGS services</t>
  </si>
  <si>
    <t>COGS TOTAL</t>
  </si>
  <si>
    <t>MARGE BRUTE</t>
  </si>
  <si>
    <t>Marge brute</t>
  </si>
  <si>
    <t>SOLAR WRAP — Compte de résultat prévisionnel</t>
  </si>
  <si>
    <t>Montants en k€ | modèle avant impôt — fiscalité non modélisée car pays d’implantation africain à déterminer</t>
  </si>
  <si>
    <t>Compte de résultat</t>
  </si>
  <si>
    <t>CHIFFRE D'AFFAIRES</t>
  </si>
  <si>
    <t>Masse salariale</t>
  </si>
  <si>
    <t>R&amp;D hors payroll</t>
  </si>
  <si>
    <t>OPEX CASH</t>
  </si>
  <si>
    <t>EBITDA</t>
  </si>
  <si>
    <t>Marge EBITDA</t>
  </si>
  <si>
    <t>Amortissements</t>
  </si>
  <si>
    <t>EBIT</t>
  </si>
  <si>
    <t>Résultat opérationnel avant impôt</t>
  </si>
  <si>
    <t>Fiscalité</t>
  </si>
  <si>
    <t>Non modélisée</t>
  </si>
  <si>
    <t>IS modélisé</t>
  </si>
  <si>
    <t>RÉSULTAT AVANT IMPÔT</t>
  </si>
  <si>
    <t>SOLAR WRAP — Trésorerie &amp; besoin de financement</t>
  </si>
  <si>
    <t>Cash Flow</t>
  </si>
  <si>
    <t>IS payé</t>
  </si>
  <si>
    <t>Créances clients</t>
  </si>
  <si>
    <t>Stock</t>
  </si>
  <si>
    <t>Dettes fournisseurs</t>
  </si>
  <si>
    <t>BFR net</t>
  </si>
  <si>
    <t>Variation BFR</t>
  </si>
  <si>
    <t>FREE CASH FLOW AVANT FINANCEMENT</t>
  </si>
  <si>
    <t>Trésorerie ouverture</t>
  </si>
  <si>
    <t>TRÉSORERIE CLÔTURE</t>
  </si>
  <si>
    <t>Note : le modèle est présenté avant impôt. L’IS sera intégré après choix du pays d’implantation et validation du régime fiscal local.</t>
  </si>
  <si>
    <t>SOLAR WRAP — ROI client &amp; stratégie de prix</t>
  </si>
  <si>
    <t>A. Cas client standard</t>
  </si>
  <si>
    <t>Prix client standard</t>
  </si>
  <si>
    <t>Économie gazole</t>
  </si>
  <si>
    <t>Valeur gazole HT</t>
  </si>
  <si>
    <t>Économie carburant</t>
  </si>
  <si>
    <t>Économies nettes annuelles</t>
  </si>
  <si>
    <t>Payback client standard</t>
  </si>
  <si>
    <t>B. Offre flotte &gt;100 unités</t>
  </si>
  <si>
    <t>Prix flotte</t>
  </si>
  <si>
    <t>Payback flotte</t>
  </si>
  <si>
    <t>Objectif commercial</t>
  </si>
  <si>
    <t>&lt; 3 ans</t>
  </si>
  <si>
    <t>C. Lecture jury</t>
  </si>
  <si>
    <t>Proposition</t>
  </si>
  <si>
    <t>Prix</t>
  </si>
  <si>
    <t>Revenu récurrent</t>
  </si>
  <si>
    <t>Payback</t>
  </si>
  <si>
    <t>Logique</t>
  </si>
  <si>
    <t>Message</t>
  </si>
  <si>
    <t>Standard</t>
  </si>
  <si>
    <t>7 500 €</t>
  </si>
  <si>
    <t>≈ 3,2 ans</t>
  </si>
  <si>
    <t>Marge + preuve de valeur</t>
  </si>
  <si>
    <t>Prix de lancement</t>
  </si>
  <si>
    <t>Flotte &gt;100</t>
  </si>
  <si>
    <t>6 900 €</t>
  </si>
  <si>
    <t>≈ 2,9 ans</t>
  </si>
  <si>
    <t>Volume / coût unitaire réduit</t>
  </si>
  <si>
    <t>Accélérer les grands comptes</t>
  </si>
  <si>
    <t>Industrialisation</t>
  </si>
  <si>
    <t>Prix décroissant</t>
  </si>
  <si>
    <t>SaaS croissant</t>
  </si>
  <si>
    <t>&lt; 3 ans cible</t>
  </si>
  <si>
    <t>COGS ↓ par volume</t>
  </si>
  <si>
    <t>Scalable sans usine lourde</t>
  </si>
  <si>
    <t>SOLAR WRAP — FINANCIAL CASE FOR JURY</t>
  </si>
  <si>
    <t>Version jury : modèle avant impôt, fiscalité locale à intégrer après choix du pays africain d’implantation.</t>
  </si>
  <si>
    <t>Prix lancement</t>
  </si>
  <si>
    <t>Payback client</t>
  </si>
  <si>
    <t>Financement total</t>
  </si>
  <si>
    <t>EBITDA positif</t>
  </si>
  <si>
    <t>CA 2033</t>
  </si>
  <si>
    <t>EBITDA 2033</t>
  </si>
  <si>
    <t>Marge EBITDA 2033</t>
  </si>
  <si>
    <t>Trajectoire financière</t>
  </si>
  <si>
    <t>CA (M€)</t>
  </si>
  <si>
    <t>EBITDA (M€)</t>
  </si>
  <si>
    <t>Message financier à défendre devant le jury</t>
  </si>
  <si>
    <t>1) Prix de lancement à 7 500 € grâce à un modèle asset-light et à la standardisation du kit. 2) Payback client autour de 3 ans, avec une offre flotte à 6 900 €. 3) EBITDA positif en 2030 et FCF positif en 2031. 4) Besoin de financement de 4,5 M€ en trois tranches ; la trésorerie reste positive dans le scénario central. 5) En 2033, le modèle atteint environ 38,6 M€ de CA et 11,5 M€ d’EBITDA. 6) Le modèle est volontairement présenté avant impôt : la fiscalité sera modélisée pays par pays une fois le pays d’implantation africain retenu.</t>
  </si>
  <si>
    <t>Fee Cash Flow positif</t>
  </si>
  <si>
    <r>
      <t xml:space="preserve">FCF = </t>
    </r>
    <r>
      <rPr>
        <b/>
        <sz val="11"/>
        <rFont val="Carlito"/>
      </rPr>
      <t>Free Cash Flow</t>
    </r>
    <r>
      <rPr>
        <sz val="11"/>
        <rFont val="Carlito"/>
      </rPr>
      <t xml:space="preserve">, en français </t>
    </r>
    <r>
      <rPr>
        <b/>
        <sz val="11"/>
        <rFont val="Carlito"/>
      </rPr>
      <t>flux de trésorerie disponible</t>
    </r>
    <r>
      <rPr>
        <sz val="11"/>
        <rFont val="Carlito"/>
      </rPr>
      <t>.</t>
    </r>
  </si>
  <si>
    <t>C’est l’argent que l’entreprise génère réellement après avoir payé ses dépenses d’exploitation et ses investissements.</t>
  </si>
  <si>
    <t>Dans votre modèle Solar Wrap, on le calcule simplement comme :</t>
  </si>
  <si>
    <t>FCF = EBITDA – CAPEX – variation du BFR – impôts éventuels</t>
  </si>
  <si>
    <r>
      <t xml:space="preserve">Dans la version Afrique que nous avons retenue pour le jury, nous avons présenté le modèle </t>
    </r>
    <r>
      <rPr>
        <b/>
        <sz val="11"/>
        <rFont val="Carlito"/>
      </rPr>
      <t>avant impôt</t>
    </r>
    <r>
      <rPr>
        <sz val="11"/>
        <rFont val="Carlito"/>
      </rPr>
      <t>, donc :</t>
    </r>
  </si>
  <si>
    <t>FCF = EBITDA – CAPEX – variation du BFR</t>
  </si>
  <si>
    <t>Exemple 2031 dans votre fichier :</t>
  </si>
  <si>
    <r>
      <t xml:space="preserve">EBITDA : environ </t>
    </r>
    <r>
      <rPr>
        <b/>
        <sz val="11"/>
        <rFont val="Carlito"/>
      </rPr>
      <t>3,33 M€</t>
    </r>
  </si>
  <si>
    <r>
      <t xml:space="preserve">CAPEX : </t>
    </r>
    <r>
      <rPr>
        <b/>
        <sz val="11"/>
        <rFont val="Carlito"/>
      </rPr>
      <t>0,50 M€</t>
    </r>
  </si>
  <si>
    <r>
      <t xml:space="preserve">hausse du BFR : environ </t>
    </r>
    <r>
      <rPr>
        <b/>
        <sz val="11"/>
        <rFont val="Carlito"/>
      </rPr>
      <t>0,84 M€</t>
    </r>
  </si>
  <si>
    <t>Donc :</t>
  </si>
  <si>
    <t>FCF ≈ 3,33 – 0,50 – 0,84 = 1,98 M€</t>
  </si>
  <si>
    <r>
      <t xml:space="preserve">Cela veut dire qu’en 2031, après avoir financé son fonctionnement, ses investissements et sa croissance, Solar Wrap génère encore environ </t>
    </r>
    <r>
      <rPr>
        <b/>
        <sz val="11"/>
        <rFont val="Carlito"/>
      </rPr>
      <t>2 M€ de cash disponible</t>
    </r>
    <r>
      <rPr>
        <sz val="11"/>
        <rFont val="Carlito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</si>
</sst>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;[Red]\(0.0%\);\-"/>
    <numFmt numFmtId="165" formatCode="\€#,##0;[Red]\(\€#,##0\);\-"/>
    <numFmt numFmtId="166" formatCode="#,##0;[Red]\(#,##0\);\-"/>
    <numFmt numFmtId="167" formatCode="#,##0.0;[Red]\(#,##0.0\);\-"/>
    <numFmt numFmtId="168" formatCode="0.0"/>
    <numFmt numFmtId="169" formatCode="0.0\ &quot;ans&quot;"/>
    <numFmt numFmtId="170" formatCode="0.0;[Red]\(0.0\);\-"/>
  </numFmts>
  <fonts count="13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2"/>
      <color rgb="FFFFFFFF"/>
      <name val="Carlito"/>
    </font>
    <font>
      <b/>
      <sz val="11"/>
      <name val="Carlito"/>
    </font>
    <font>
      <sz val="11"/>
      <color rgb="FF0000FF"/>
      <name val="Carlito"/>
    </font>
    <font>
      <b/>
      <sz val="15"/>
      <color rgb="FFFFFFFF"/>
      <name val="Carlito"/>
    </font>
    <font>
      <sz val="11"/>
      <color rgb="FF008000"/>
      <name val="Carlito"/>
    </font>
    <font>
      <b/>
      <sz val="11"/>
      <color rgb="FF008000"/>
      <name val="Carlito"/>
    </font>
    <font>
      <b/>
      <sz val="18"/>
      <color rgb="FFFFFFFF"/>
      <name val="Carlito"/>
    </font>
    <font>
      <b/>
      <sz val="15"/>
      <name val="Carlito"/>
    </font>
    <font>
      <sz val="12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17365D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7" fontId="8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4" fillId="4" borderId="1" xfId="0" applyFont="1" applyFill="1" applyBorder="1" applyAlignment="1">
      <alignment vertical="center"/>
    </xf>
    <xf numFmtId="167" fontId="4" fillId="4" borderId="1" xfId="0" applyNumberFormat="1" applyFont="1" applyFill="1" applyBorder="1" applyAlignment="1">
      <alignment vertical="center"/>
    </xf>
    <xf numFmtId="165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2" fillId="7" borderId="0" xfId="0" applyFont="1" applyFill="1" applyAlignment="1">
      <alignment vertical="center" wrapText="1"/>
    </xf>
    <xf numFmtId="49" fontId="10" fillId="4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top" wrapText="1"/>
    </xf>
    <xf numFmtId="0" fontId="0" fillId="6" borderId="0" xfId="0" applyFill="1" applyAlignment="1">
      <alignment vertical="center"/>
    </xf>
    <xf numFmtId="165" fontId="10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10" fillId="4" borderId="0" xfId="0" applyNumberFormat="1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CA &amp; EBITDA (M€)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Jury'!$B$14:$B$16</c:f>
              <c:numCache>
                <c:formatCode>0.0;[Red]\(0.0\);\-</c:formatCode>
                <c:ptCount val="3"/>
                <c:pt idx="0" formatCode="General">
                  <c:v>2027</c:v>
                </c:pt>
                <c:pt idx="1">
                  <c:v>9.7500000000000003E-2</c:v>
                </c:pt>
                <c:pt idx="2">
                  <c:v>-0.91500000000000004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8-EC41-BE5C-0070441ACDF4}"/>
            </c:ext>
          </c:extLst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Jury'!$C$14:$C$16</c:f>
              <c:numCache>
                <c:formatCode>0.0;[Red]\(0.0\);\-</c:formatCode>
                <c:ptCount val="3"/>
                <c:pt idx="0" formatCode="General">
                  <c:v>2028</c:v>
                </c:pt>
                <c:pt idx="1">
                  <c:v>0.94345950000000001</c:v>
                </c:pt>
                <c:pt idx="2">
                  <c:v>-1.0240594249999999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8-EC41-BE5C-0070441ACDF4}"/>
            </c:ext>
          </c:extLst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Jury'!$D$14:$D$16</c:f>
              <c:numCache>
                <c:formatCode>0.0;[Red]\(0.0\);\-</c:formatCode>
                <c:ptCount val="3"/>
                <c:pt idx="0" formatCode="General">
                  <c:v>2029</c:v>
                </c:pt>
                <c:pt idx="1">
                  <c:v>3.5100871120000003</c:v>
                </c:pt>
                <c:pt idx="2">
                  <c:v>-0.67192595479999995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68-EC41-BE5C-0070441ACDF4}"/>
            </c:ext>
          </c:extLst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Jury'!$E$14:$E$16</c:f>
              <c:numCache>
                <c:formatCode>0.0;[Red]\(0.0\);\-</c:formatCode>
                <c:ptCount val="3"/>
                <c:pt idx="0" formatCode="General">
                  <c:v>2030</c:v>
                </c:pt>
                <c:pt idx="1">
                  <c:v>8.5076469348812491</c:v>
                </c:pt>
                <c:pt idx="2">
                  <c:v>0.51799989464906226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68-EC41-BE5C-0070441ACDF4}"/>
            </c:ext>
          </c:extLst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Jury'!$F$14:$F$16</c:f>
              <c:numCache>
                <c:formatCode>0.0;[Red]\(0.0\);\-</c:formatCode>
                <c:ptCount val="3"/>
                <c:pt idx="0" formatCode="General">
                  <c:v>2031</c:v>
                </c:pt>
                <c:pt idx="1">
                  <c:v>16.934777241612398</c:v>
                </c:pt>
                <c:pt idx="2">
                  <c:v>3.3255606553705386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68-EC41-BE5C-0070441ACDF4}"/>
            </c:ext>
          </c:extLst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Jury'!$G$14:$G$16</c:f>
              <c:numCache>
                <c:formatCode>0.0;[Red]\(0.0\);\-</c:formatCode>
                <c:ptCount val="3"/>
                <c:pt idx="0" formatCode="General">
                  <c:v>2032</c:v>
                </c:pt>
                <c:pt idx="1">
                  <c:v>26.930224030487043</c:v>
                </c:pt>
                <c:pt idx="2">
                  <c:v>6.8101904259139863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68-EC41-BE5C-0070441ACDF4}"/>
            </c:ext>
          </c:extLst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'Dashboard Jury'!$A$14:$A$16</c:f>
              <c:strCache>
                <c:ptCount val="3"/>
                <c:pt idx="0">
                  <c:v>Indicateur</c:v>
                </c:pt>
                <c:pt idx="1">
                  <c:v>CA (M€)</c:v>
                </c:pt>
                <c:pt idx="2">
                  <c:v>EBITDA (M€)</c:v>
                </c:pt>
              </c:strCache>
            </c:strRef>
          </c:cat>
          <c:val>
            <c:numRef>
              <c:f>'Dashboard Jury'!$H$14:$H$16</c:f>
              <c:numCache>
                <c:formatCode>0.0;[Red]\(0.0\);\-</c:formatCode>
                <c:ptCount val="3"/>
                <c:pt idx="0" formatCode="General">
                  <c:v>2033</c:v>
                </c:pt>
                <c:pt idx="1">
                  <c:v>38.634793019962245</c:v>
                </c:pt>
                <c:pt idx="2">
                  <c:v>11.461574066967907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68-EC41-BE5C-0070441AC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workbookViewId="0">
      <pane ySplit="3" topLeftCell="A4" activePane="bottomLeft" state="frozen"/>
      <selection pane="bottomLeft" sqref="A1:I1"/>
    </sheetView>
  </sheetViews>
  <sheetFormatPr baseColWidth="10" defaultColWidth="8.83203125" defaultRowHeight="15"/>
  <cols>
    <col min="1" max="1" width="34" customWidth="1"/>
    <col min="2" max="2" width="16" customWidth="1"/>
    <col min="3" max="3" width="15" customWidth="1"/>
    <col min="4" max="4" width="18" customWidth="1"/>
    <col min="5" max="5" width="42" customWidth="1"/>
    <col min="6" max="9" width="13" customWidth="1"/>
  </cols>
  <sheetData>
    <row r="1" spans="1:10" ht="2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1"/>
    </row>
    <row r="2" spans="1:10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6">
      <c r="A4" s="24" t="s">
        <v>2</v>
      </c>
      <c r="B4" s="22"/>
      <c r="C4" s="22"/>
      <c r="D4" s="22"/>
      <c r="E4" s="22"/>
      <c r="F4" s="1"/>
      <c r="G4" s="1"/>
      <c r="H4" s="1"/>
      <c r="I4" s="1"/>
      <c r="J4" s="1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1"/>
      <c r="G5" s="1"/>
      <c r="H5" s="1"/>
      <c r="I5" s="1"/>
      <c r="J5" s="1"/>
    </row>
    <row r="6" spans="1:10">
      <c r="A6" s="1" t="s">
        <v>8</v>
      </c>
      <c r="B6" s="3">
        <v>0.25</v>
      </c>
      <c r="C6" s="1" t="s">
        <v>9</v>
      </c>
      <c r="D6" s="1" t="s">
        <v>10</v>
      </c>
      <c r="E6" s="1" t="s">
        <v>11</v>
      </c>
      <c r="F6" s="1"/>
      <c r="G6" s="1"/>
      <c r="H6" s="1"/>
      <c r="I6" s="1"/>
      <c r="J6" s="1"/>
    </row>
    <row r="7" spans="1:10">
      <c r="A7" s="1" t="s">
        <v>12</v>
      </c>
      <c r="B7" s="4">
        <v>45</v>
      </c>
      <c r="C7" s="1" t="s">
        <v>13</v>
      </c>
      <c r="D7" s="1" t="s">
        <v>3</v>
      </c>
      <c r="E7" s="1" t="s">
        <v>14</v>
      </c>
      <c r="F7" s="1"/>
      <c r="G7" s="1"/>
      <c r="H7" s="1"/>
      <c r="I7" s="1"/>
      <c r="J7" s="1"/>
    </row>
    <row r="8" spans="1:10">
      <c r="A8" s="1" t="s">
        <v>15</v>
      </c>
      <c r="B8" s="4">
        <v>30</v>
      </c>
      <c r="C8" s="1" t="s">
        <v>16</v>
      </c>
      <c r="D8" s="1" t="s">
        <v>3</v>
      </c>
      <c r="E8" s="1" t="s">
        <v>17</v>
      </c>
      <c r="F8" s="1"/>
      <c r="G8" s="1"/>
      <c r="H8" s="1"/>
      <c r="I8" s="1"/>
      <c r="J8" s="1"/>
    </row>
    <row r="9" spans="1:10">
      <c r="A9" s="1" t="s">
        <v>18</v>
      </c>
      <c r="B9" s="4">
        <v>45</v>
      </c>
      <c r="C9" s="1" t="s">
        <v>13</v>
      </c>
      <c r="D9" s="1" t="s">
        <v>3</v>
      </c>
      <c r="E9" s="1" t="s">
        <v>19</v>
      </c>
      <c r="F9" s="1"/>
      <c r="G9" s="1"/>
      <c r="H9" s="1"/>
      <c r="I9" s="1"/>
      <c r="J9" s="1"/>
    </row>
    <row r="10" spans="1:10">
      <c r="A10" s="1" t="s">
        <v>20</v>
      </c>
      <c r="B10" s="3">
        <v>0.03</v>
      </c>
      <c r="C10" s="1" t="s">
        <v>21</v>
      </c>
      <c r="D10" s="1" t="s">
        <v>3</v>
      </c>
      <c r="E10" s="1" t="s">
        <v>22</v>
      </c>
      <c r="F10" s="1"/>
      <c r="G10" s="1"/>
      <c r="H10" s="1"/>
      <c r="I10" s="1"/>
      <c r="J10" s="1"/>
    </row>
    <row r="11" spans="1:10">
      <c r="A11" s="1" t="s">
        <v>23</v>
      </c>
      <c r="B11" s="3">
        <v>0.85</v>
      </c>
      <c r="C11" s="1" t="s">
        <v>9</v>
      </c>
      <c r="D11" s="1" t="s">
        <v>3</v>
      </c>
      <c r="E11" s="1" t="s">
        <v>24</v>
      </c>
      <c r="F11" s="1"/>
      <c r="G11" s="1"/>
      <c r="H11" s="1"/>
      <c r="I11" s="1"/>
      <c r="J11" s="1"/>
    </row>
    <row r="12" spans="1:10">
      <c r="A12" s="1" t="s">
        <v>25</v>
      </c>
      <c r="B12" s="3">
        <v>0.55000000000000004</v>
      </c>
      <c r="C12" s="1" t="s">
        <v>9</v>
      </c>
      <c r="D12" s="1" t="s">
        <v>3</v>
      </c>
      <c r="E12" s="1" t="s">
        <v>26</v>
      </c>
      <c r="F12" s="1"/>
      <c r="G12" s="1"/>
      <c r="H12" s="1"/>
      <c r="I12" s="1"/>
      <c r="J12" s="1"/>
    </row>
    <row r="13" spans="1:10">
      <c r="A13" s="1" t="s">
        <v>27</v>
      </c>
      <c r="B13" s="5">
        <v>250000</v>
      </c>
      <c r="C13" s="1" t="s">
        <v>28</v>
      </c>
      <c r="D13" s="1" t="s">
        <v>3</v>
      </c>
      <c r="E13" s="1" t="s">
        <v>29</v>
      </c>
      <c r="F13" s="1"/>
      <c r="G13" s="1"/>
      <c r="H13" s="1"/>
      <c r="I13" s="1"/>
      <c r="J13" s="1"/>
    </row>
    <row r="14" spans="1:10">
      <c r="A14" s="1" t="s">
        <v>30</v>
      </c>
      <c r="B14" s="4">
        <v>5</v>
      </c>
      <c r="C14" s="1" t="s">
        <v>31</v>
      </c>
      <c r="D14" s="1" t="s">
        <v>3</v>
      </c>
      <c r="E14" s="1" t="s">
        <v>32</v>
      </c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6">
      <c r="A17" s="24" t="s">
        <v>33</v>
      </c>
      <c r="B17" s="22"/>
      <c r="C17" s="22"/>
      <c r="D17" s="22"/>
      <c r="E17" s="22"/>
      <c r="F17" s="22"/>
      <c r="G17" s="22"/>
      <c r="H17" s="22"/>
      <c r="I17" s="22"/>
      <c r="J17" s="1"/>
    </row>
    <row r="18" spans="1:10">
      <c r="A18" s="2" t="s">
        <v>3</v>
      </c>
      <c r="B18" s="2" t="s">
        <v>5</v>
      </c>
      <c r="C18" s="2">
        <v>2027</v>
      </c>
      <c r="D18" s="2">
        <v>2028</v>
      </c>
      <c r="E18" s="2">
        <v>2029</v>
      </c>
      <c r="F18" s="2">
        <v>2030</v>
      </c>
      <c r="G18" s="2">
        <v>2031</v>
      </c>
      <c r="H18" s="2">
        <v>2032</v>
      </c>
      <c r="I18" s="2">
        <v>2033</v>
      </c>
      <c r="J18" s="1"/>
    </row>
    <row r="19" spans="1:10">
      <c r="A19" s="1" t="s">
        <v>34</v>
      </c>
      <c r="B19" s="1" t="s">
        <v>35</v>
      </c>
      <c r="C19" s="6">
        <v>15</v>
      </c>
      <c r="D19" s="6">
        <v>120</v>
      </c>
      <c r="E19" s="6">
        <v>450</v>
      </c>
      <c r="F19" s="6">
        <v>1100</v>
      </c>
      <c r="G19" s="6">
        <v>2200</v>
      </c>
      <c r="H19" s="6">
        <v>3500</v>
      </c>
      <c r="I19" s="6">
        <v>5000</v>
      </c>
      <c r="J19" s="1"/>
    </row>
    <row r="20" spans="1:10">
      <c r="A20" s="1" t="s">
        <v>36</v>
      </c>
      <c r="B20" s="1" t="s">
        <v>37</v>
      </c>
      <c r="C20" s="5">
        <v>6500</v>
      </c>
      <c r="D20" s="5">
        <v>7500</v>
      </c>
      <c r="E20" s="5">
        <v>7400</v>
      </c>
      <c r="F20" s="5">
        <v>7300</v>
      </c>
      <c r="G20" s="5">
        <v>7200</v>
      </c>
      <c r="H20" s="5">
        <v>7100</v>
      </c>
      <c r="I20" s="5">
        <v>7000</v>
      </c>
      <c r="J20" s="1"/>
    </row>
    <row r="21" spans="1:10">
      <c r="A21" s="1" t="s">
        <v>38</v>
      </c>
      <c r="B21" s="1" t="s">
        <v>37</v>
      </c>
      <c r="C21" s="5">
        <v>7500</v>
      </c>
      <c r="D21" s="5">
        <v>5200</v>
      </c>
      <c r="E21" s="5">
        <v>4900</v>
      </c>
      <c r="F21" s="5">
        <v>4600</v>
      </c>
      <c r="G21" s="5">
        <v>4300</v>
      </c>
      <c r="H21" s="5">
        <v>4100</v>
      </c>
      <c r="I21" s="5">
        <v>3900</v>
      </c>
      <c r="J21" s="1"/>
    </row>
    <row r="22" spans="1:10">
      <c r="A22" s="1" t="s">
        <v>39</v>
      </c>
      <c r="B22" s="1" t="s">
        <v>9</v>
      </c>
      <c r="C22" s="3">
        <v>0</v>
      </c>
      <c r="D22" s="3">
        <v>0.6</v>
      </c>
      <c r="E22" s="3">
        <v>0.7</v>
      </c>
      <c r="F22" s="3">
        <v>0.75</v>
      </c>
      <c r="G22" s="3">
        <v>0.8</v>
      </c>
      <c r="H22" s="3">
        <v>0.82</v>
      </c>
      <c r="I22" s="3">
        <v>0.85</v>
      </c>
      <c r="J22" s="1"/>
    </row>
    <row r="23" spans="1:10">
      <c r="A23" s="1" t="s">
        <v>40</v>
      </c>
      <c r="B23" s="1" t="s">
        <v>41</v>
      </c>
      <c r="C23" s="5">
        <v>0</v>
      </c>
      <c r="D23" s="5">
        <v>300</v>
      </c>
      <c r="E23" s="5">
        <v>320</v>
      </c>
      <c r="F23" s="5">
        <v>330</v>
      </c>
      <c r="G23" s="5">
        <v>340</v>
      </c>
      <c r="H23" s="5">
        <v>350</v>
      </c>
      <c r="I23" s="5">
        <v>360</v>
      </c>
      <c r="J23" s="1"/>
    </row>
    <row r="24" spans="1:10">
      <c r="A24" s="1" t="s">
        <v>42</v>
      </c>
      <c r="B24" s="1" t="s">
        <v>43</v>
      </c>
      <c r="C24" s="5">
        <v>0</v>
      </c>
      <c r="D24" s="5">
        <v>30000</v>
      </c>
      <c r="E24" s="5">
        <v>100000</v>
      </c>
      <c r="F24" s="5">
        <v>200000</v>
      </c>
      <c r="G24" s="5">
        <v>350000</v>
      </c>
      <c r="H24" s="5">
        <v>500000</v>
      </c>
      <c r="I24" s="5">
        <v>700000</v>
      </c>
      <c r="J24" s="1"/>
    </row>
    <row r="25" spans="1:10">
      <c r="A25" s="1" t="s">
        <v>44</v>
      </c>
      <c r="B25" s="1" t="s">
        <v>45</v>
      </c>
      <c r="C25" s="6">
        <v>4</v>
      </c>
      <c r="D25" s="6">
        <v>6</v>
      </c>
      <c r="E25" s="6">
        <v>9</v>
      </c>
      <c r="F25" s="6">
        <v>14</v>
      </c>
      <c r="G25" s="6">
        <v>20</v>
      </c>
      <c r="H25" s="6">
        <v>28</v>
      </c>
      <c r="I25" s="6">
        <v>36</v>
      </c>
      <c r="J25" s="1"/>
    </row>
    <row r="26" spans="1:10">
      <c r="A26" s="1" t="s">
        <v>46</v>
      </c>
      <c r="B26" s="1" t="s">
        <v>47</v>
      </c>
      <c r="C26" s="5">
        <v>75000</v>
      </c>
      <c r="D26" s="5">
        <v>78000</v>
      </c>
      <c r="E26" s="5">
        <v>80000</v>
      </c>
      <c r="F26" s="5">
        <v>82000</v>
      </c>
      <c r="G26" s="5">
        <v>84000</v>
      </c>
      <c r="H26" s="5">
        <v>86000</v>
      </c>
      <c r="I26" s="5">
        <v>88000</v>
      </c>
      <c r="J26" s="1"/>
    </row>
    <row r="27" spans="1:10">
      <c r="A27" s="1" t="s">
        <v>48</v>
      </c>
      <c r="B27" s="1" t="s">
        <v>43</v>
      </c>
      <c r="C27" s="5">
        <v>400000</v>
      </c>
      <c r="D27" s="5">
        <v>500000</v>
      </c>
      <c r="E27" s="5">
        <v>600000</v>
      </c>
      <c r="F27" s="5">
        <v>700000</v>
      </c>
      <c r="G27" s="5">
        <v>850000</v>
      </c>
      <c r="H27" s="5">
        <v>1000000</v>
      </c>
      <c r="I27" s="5">
        <v>1200000</v>
      </c>
      <c r="J27" s="1"/>
    </row>
    <row r="28" spans="1:10">
      <c r="A28" s="1" t="s">
        <v>49</v>
      </c>
      <c r="B28" s="1" t="s">
        <v>43</v>
      </c>
      <c r="C28" s="5">
        <v>80000</v>
      </c>
      <c r="D28" s="5">
        <v>180000</v>
      </c>
      <c r="E28" s="5">
        <v>350000</v>
      </c>
      <c r="F28" s="5">
        <v>600000</v>
      </c>
      <c r="G28" s="5">
        <v>900000</v>
      </c>
      <c r="H28" s="5">
        <v>1300000</v>
      </c>
      <c r="I28" s="5">
        <v>1800000</v>
      </c>
      <c r="J28" s="1"/>
    </row>
    <row r="29" spans="1:10">
      <c r="A29" s="1" t="s">
        <v>50</v>
      </c>
      <c r="B29" s="1" t="s">
        <v>43</v>
      </c>
      <c r="C29" s="5">
        <v>120000</v>
      </c>
      <c r="D29" s="5">
        <v>180000</v>
      </c>
      <c r="E29" s="5">
        <v>250000</v>
      </c>
      <c r="F29" s="5">
        <v>350000</v>
      </c>
      <c r="G29" s="5">
        <v>450000</v>
      </c>
      <c r="H29" s="5">
        <v>600000</v>
      </c>
      <c r="I29" s="5">
        <v>750000</v>
      </c>
      <c r="J29" s="1"/>
    </row>
    <row r="30" spans="1:10">
      <c r="A30" s="1" t="s">
        <v>51</v>
      </c>
      <c r="B30" s="1" t="s">
        <v>43</v>
      </c>
      <c r="C30" s="5">
        <v>200000</v>
      </c>
      <c r="D30" s="5">
        <v>250000</v>
      </c>
      <c r="E30" s="5">
        <v>300000</v>
      </c>
      <c r="F30" s="5">
        <v>400000</v>
      </c>
      <c r="G30" s="5">
        <v>500000</v>
      </c>
      <c r="H30" s="5">
        <v>600000</v>
      </c>
      <c r="I30" s="5">
        <v>700000</v>
      </c>
      <c r="J30" s="1"/>
    </row>
    <row r="31" spans="1:10">
      <c r="A31" s="1" t="s">
        <v>52</v>
      </c>
      <c r="B31" s="1" t="s">
        <v>43</v>
      </c>
      <c r="C31" s="5">
        <v>1500000</v>
      </c>
      <c r="D31" s="5">
        <v>1500000</v>
      </c>
      <c r="E31" s="5">
        <v>1500000</v>
      </c>
      <c r="F31" s="5">
        <v>0</v>
      </c>
      <c r="G31" s="5">
        <v>0</v>
      </c>
      <c r="H31" s="5">
        <v>0</v>
      </c>
      <c r="I31" s="5">
        <v>0</v>
      </c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6">
      <c r="A34" s="24" t="s">
        <v>53</v>
      </c>
      <c r="B34" s="22"/>
      <c r="C34" s="22"/>
      <c r="D34" s="22"/>
      <c r="E34" s="22"/>
      <c r="F34" s="1"/>
      <c r="G34" s="1"/>
      <c r="H34" s="1"/>
      <c r="I34" s="1"/>
      <c r="J34" s="1"/>
    </row>
    <row r="35" spans="1:10">
      <c r="A35" s="2" t="s">
        <v>3</v>
      </c>
      <c r="B35" s="2" t="s">
        <v>4</v>
      </c>
      <c r="C35" s="2" t="s">
        <v>5</v>
      </c>
      <c r="D35" s="2" t="s">
        <v>6</v>
      </c>
      <c r="E35" s="2" t="s">
        <v>7</v>
      </c>
      <c r="F35" s="1"/>
      <c r="G35" s="1"/>
      <c r="H35" s="1"/>
      <c r="I35" s="1"/>
      <c r="J35" s="1"/>
    </row>
    <row r="36" spans="1:10">
      <c r="A36" s="1" t="s">
        <v>54</v>
      </c>
      <c r="B36" s="4">
        <v>1800</v>
      </c>
      <c r="C36" s="1" t="s">
        <v>55</v>
      </c>
      <c r="D36" s="1" t="s">
        <v>56</v>
      </c>
      <c r="E36" s="1" t="s">
        <v>57</v>
      </c>
      <c r="F36" s="1"/>
      <c r="G36" s="1"/>
      <c r="H36" s="1"/>
      <c r="I36" s="1"/>
      <c r="J36" s="1"/>
    </row>
    <row r="37" spans="1:10">
      <c r="A37" s="1" t="s">
        <v>58</v>
      </c>
      <c r="B37" s="5">
        <v>1.35</v>
      </c>
      <c r="C37" s="1" t="s">
        <v>59</v>
      </c>
      <c r="D37" s="1" t="s">
        <v>60</v>
      </c>
      <c r="E37" s="1" t="s">
        <v>61</v>
      </c>
      <c r="F37" s="1"/>
      <c r="G37" s="1"/>
      <c r="H37" s="1"/>
      <c r="I37" s="1"/>
      <c r="J37" s="1"/>
    </row>
    <row r="38" spans="1:10">
      <c r="A38" s="1" t="s">
        <v>62</v>
      </c>
      <c r="B38" s="5">
        <v>250</v>
      </c>
      <c r="C38" s="1" t="s">
        <v>43</v>
      </c>
      <c r="D38" s="1" t="s">
        <v>3</v>
      </c>
      <c r="E38" s="1" t="s">
        <v>63</v>
      </c>
      <c r="F38" s="1"/>
      <c r="G38" s="1"/>
      <c r="H38" s="1"/>
      <c r="I38" s="1"/>
      <c r="J38" s="1"/>
    </row>
    <row r="39" spans="1:10">
      <c r="A39" s="1" t="s">
        <v>40</v>
      </c>
      <c r="B39" s="5">
        <v>300</v>
      </c>
      <c r="C39" s="1" t="s">
        <v>43</v>
      </c>
      <c r="D39" s="1" t="s">
        <v>3</v>
      </c>
      <c r="E39" s="1" t="s">
        <v>64</v>
      </c>
      <c r="F39" s="1"/>
      <c r="G39" s="1"/>
      <c r="H39" s="1"/>
      <c r="I39" s="1"/>
      <c r="J39" s="1"/>
    </row>
    <row r="40" spans="1:10">
      <c r="A40" s="1" t="s">
        <v>65</v>
      </c>
      <c r="B40" s="5">
        <v>6900</v>
      </c>
      <c r="C40" s="1" t="s">
        <v>37</v>
      </c>
      <c r="D40" s="1" t="s">
        <v>66</v>
      </c>
      <c r="E40" s="1" t="s">
        <v>67</v>
      </c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5">
    <mergeCell ref="A1:I1"/>
    <mergeCell ref="A2:I2"/>
    <mergeCell ref="A4:E4"/>
    <mergeCell ref="A17:I17"/>
    <mergeCell ref="A34:E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14" customWidth="1"/>
    <col min="3" max="9" width="13" customWidth="1"/>
  </cols>
  <sheetData>
    <row r="1" spans="1:10" ht="19">
      <c r="A1" s="25" t="s">
        <v>68</v>
      </c>
      <c r="B1" s="22"/>
      <c r="C1" s="22"/>
      <c r="D1" s="22"/>
      <c r="E1" s="22"/>
      <c r="F1" s="22"/>
      <c r="G1" s="22"/>
      <c r="H1" s="22"/>
      <c r="I1" s="22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69</v>
      </c>
      <c r="B3" s="2" t="s">
        <v>5</v>
      </c>
      <c r="C3" s="2">
        <v>2027</v>
      </c>
      <c r="D3" s="2">
        <v>2028</v>
      </c>
      <c r="E3" s="2">
        <v>2029</v>
      </c>
      <c r="F3" s="2">
        <v>2030</v>
      </c>
      <c r="G3" s="2">
        <v>2031</v>
      </c>
      <c r="H3" s="2">
        <v>2032</v>
      </c>
      <c r="I3" s="2">
        <v>2033</v>
      </c>
      <c r="J3" s="1"/>
    </row>
    <row r="4" spans="1:10">
      <c r="A4" s="1" t="s">
        <v>34</v>
      </c>
      <c r="B4" s="1" t="s">
        <v>35</v>
      </c>
      <c r="C4" s="7">
        <f>Hypothèses!C19</f>
        <v>15</v>
      </c>
      <c r="D4" s="7">
        <f>Hypothèses!D19</f>
        <v>120</v>
      </c>
      <c r="E4" s="7">
        <f>Hypothèses!E19</f>
        <v>450</v>
      </c>
      <c r="F4" s="7">
        <f>Hypothèses!F19</f>
        <v>1100</v>
      </c>
      <c r="G4" s="7">
        <f>Hypothèses!G19</f>
        <v>2200</v>
      </c>
      <c r="H4" s="7">
        <f>Hypothèses!H19</f>
        <v>3500</v>
      </c>
      <c r="I4" s="7">
        <f>Hypothèses!I19</f>
        <v>5000</v>
      </c>
      <c r="J4" s="1"/>
    </row>
    <row r="5" spans="1:10">
      <c r="A5" s="1" t="s">
        <v>70</v>
      </c>
      <c r="B5" s="1" t="s">
        <v>37</v>
      </c>
      <c r="C5" s="8">
        <f>Hypothèses!C20</f>
        <v>6500</v>
      </c>
      <c r="D5" s="8">
        <f>Hypothèses!D20</f>
        <v>7500</v>
      </c>
      <c r="E5" s="8">
        <f>Hypothèses!E20</f>
        <v>7400</v>
      </c>
      <c r="F5" s="8">
        <f>Hypothèses!F20</f>
        <v>7300</v>
      </c>
      <c r="G5" s="8">
        <f>Hypothèses!G20</f>
        <v>7200</v>
      </c>
      <c r="H5" s="8">
        <f>Hypothèses!H20</f>
        <v>7100</v>
      </c>
      <c r="I5" s="8">
        <f>Hypothèses!I20</f>
        <v>7000</v>
      </c>
      <c r="J5" s="1"/>
    </row>
    <row r="6" spans="1:10">
      <c r="A6" s="1" t="s">
        <v>71</v>
      </c>
      <c r="B6" s="1" t="s">
        <v>72</v>
      </c>
      <c r="C6" s="9">
        <f t="shared" ref="C6:I6" si="0">C4*C5/1000</f>
        <v>97.5</v>
      </c>
      <c r="D6" s="9">
        <f t="shared" si="0"/>
        <v>900</v>
      </c>
      <c r="E6" s="9">
        <f t="shared" si="0"/>
        <v>3330</v>
      </c>
      <c r="F6" s="9">
        <f t="shared" si="0"/>
        <v>8030</v>
      </c>
      <c r="G6" s="9">
        <f t="shared" si="0"/>
        <v>15840</v>
      </c>
      <c r="H6" s="9">
        <f t="shared" si="0"/>
        <v>24850</v>
      </c>
      <c r="I6" s="9">
        <f t="shared" si="0"/>
        <v>35000</v>
      </c>
      <c r="J6" s="1"/>
    </row>
    <row r="7" spans="1:10">
      <c r="A7" s="1" t="s">
        <v>73</v>
      </c>
      <c r="B7" s="1" t="s">
        <v>35</v>
      </c>
      <c r="C7" s="7">
        <v>0</v>
      </c>
      <c r="D7" s="7">
        <f t="shared" ref="D7:I7" si="1">C9</f>
        <v>15</v>
      </c>
      <c r="E7" s="7">
        <f t="shared" si="1"/>
        <v>134.55000000000001</v>
      </c>
      <c r="F7" s="7">
        <f t="shared" si="1"/>
        <v>580.51350000000002</v>
      </c>
      <c r="G7" s="7">
        <f t="shared" si="1"/>
        <v>1663.0980950000001</v>
      </c>
      <c r="H7" s="7">
        <f t="shared" si="1"/>
        <v>3813.2051521499998</v>
      </c>
      <c r="I7" s="7">
        <f t="shared" si="1"/>
        <v>7198.8089975855</v>
      </c>
      <c r="J7" s="1"/>
    </row>
    <row r="8" spans="1:10">
      <c r="A8" s="1" t="s">
        <v>74</v>
      </c>
      <c r="B8" s="1" t="s">
        <v>35</v>
      </c>
      <c r="C8" s="7">
        <f>C7*Hypothèses!$B$10</f>
        <v>0</v>
      </c>
      <c r="D8" s="7">
        <f>D7*Hypothèses!$B$10</f>
        <v>0.44999999999999996</v>
      </c>
      <c r="E8" s="7">
        <f>E7*Hypothèses!$B$10</f>
        <v>4.0365000000000002</v>
      </c>
      <c r="F8" s="7">
        <f>F7*Hypothèses!$B$10</f>
        <v>17.415405</v>
      </c>
      <c r="G8" s="7">
        <f>G7*Hypothèses!$B$10</f>
        <v>49.892942849999997</v>
      </c>
      <c r="H8" s="7">
        <f>H7*Hypothèses!$B$10</f>
        <v>114.39615456449999</v>
      </c>
      <c r="I8" s="7">
        <f>I7*Hypothèses!$B$10</f>
        <v>215.964269927565</v>
      </c>
      <c r="J8" s="1"/>
    </row>
    <row r="9" spans="1:10">
      <c r="A9" s="1" t="s">
        <v>75</v>
      </c>
      <c r="B9" s="1" t="s">
        <v>35</v>
      </c>
      <c r="C9" s="7">
        <f t="shared" ref="C9:I9" si="2">C7-C8+C4</f>
        <v>15</v>
      </c>
      <c r="D9" s="7">
        <f t="shared" si="2"/>
        <v>134.55000000000001</v>
      </c>
      <c r="E9" s="7">
        <f t="shared" si="2"/>
        <v>580.51350000000002</v>
      </c>
      <c r="F9" s="7">
        <f t="shared" si="2"/>
        <v>1663.0980950000001</v>
      </c>
      <c r="G9" s="7">
        <f t="shared" si="2"/>
        <v>3813.2051521499998</v>
      </c>
      <c r="H9" s="7">
        <f t="shared" si="2"/>
        <v>7198.8089975855</v>
      </c>
      <c r="I9" s="7">
        <f t="shared" si="2"/>
        <v>11982.844727657935</v>
      </c>
      <c r="J9" s="1"/>
    </row>
    <row r="10" spans="1:10">
      <c r="A10" s="1" t="s">
        <v>76</v>
      </c>
      <c r="B10" s="1" t="s">
        <v>35</v>
      </c>
      <c r="C10" s="7">
        <f t="shared" ref="C10:I10" si="3">(C7+C9)/2</f>
        <v>7.5</v>
      </c>
      <c r="D10" s="7">
        <f t="shared" si="3"/>
        <v>74.775000000000006</v>
      </c>
      <c r="E10" s="7">
        <f t="shared" si="3"/>
        <v>357.53174999999999</v>
      </c>
      <c r="F10" s="7">
        <f t="shared" si="3"/>
        <v>1121.8057975000002</v>
      </c>
      <c r="G10" s="7">
        <f t="shared" si="3"/>
        <v>2738.151623575</v>
      </c>
      <c r="H10" s="7">
        <f t="shared" si="3"/>
        <v>5506.0070748677499</v>
      </c>
      <c r="I10" s="7">
        <f t="shared" si="3"/>
        <v>9590.8268626217177</v>
      </c>
      <c r="J10" s="1"/>
    </row>
    <row r="11" spans="1:10">
      <c r="A11" s="1" t="s">
        <v>77</v>
      </c>
      <c r="B11" s="1" t="s">
        <v>9</v>
      </c>
      <c r="C11" s="10">
        <f>Hypothèses!C22</f>
        <v>0</v>
      </c>
      <c r="D11" s="10">
        <f>Hypothèses!D22</f>
        <v>0.6</v>
      </c>
      <c r="E11" s="10">
        <f>Hypothèses!E22</f>
        <v>0.7</v>
      </c>
      <c r="F11" s="10">
        <f>Hypothèses!F22</f>
        <v>0.75</v>
      </c>
      <c r="G11" s="10">
        <f>Hypothèses!G22</f>
        <v>0.8</v>
      </c>
      <c r="H11" s="10">
        <f>Hypothèses!H22</f>
        <v>0.82</v>
      </c>
      <c r="I11" s="10">
        <f>Hypothèses!I22</f>
        <v>0.85</v>
      </c>
      <c r="J11" s="1"/>
    </row>
    <row r="12" spans="1:10">
      <c r="A12" s="1" t="s">
        <v>78</v>
      </c>
      <c r="B12" s="1" t="s">
        <v>37</v>
      </c>
      <c r="C12" s="8">
        <f>Hypothèses!C23</f>
        <v>0</v>
      </c>
      <c r="D12" s="8">
        <f>Hypothèses!D23</f>
        <v>300</v>
      </c>
      <c r="E12" s="8">
        <f>Hypothèses!E23</f>
        <v>320</v>
      </c>
      <c r="F12" s="8">
        <f>Hypothèses!F23</f>
        <v>330</v>
      </c>
      <c r="G12" s="8">
        <f>Hypothèses!G23</f>
        <v>340</v>
      </c>
      <c r="H12" s="8">
        <f>Hypothèses!H23</f>
        <v>350</v>
      </c>
      <c r="I12" s="8">
        <f>Hypothèses!I23</f>
        <v>360</v>
      </c>
      <c r="J12" s="1"/>
    </row>
    <row r="13" spans="1:10">
      <c r="A13" s="1" t="s">
        <v>79</v>
      </c>
      <c r="B13" s="1" t="s">
        <v>72</v>
      </c>
      <c r="C13" s="9">
        <f t="shared" ref="C13:I13" si="4">C10*C11*C12/1000</f>
        <v>0</v>
      </c>
      <c r="D13" s="9">
        <f t="shared" si="4"/>
        <v>13.4595</v>
      </c>
      <c r="E13" s="9">
        <f t="shared" si="4"/>
        <v>80.087111999999991</v>
      </c>
      <c r="F13" s="9">
        <f t="shared" si="4"/>
        <v>277.64693488125005</v>
      </c>
      <c r="G13" s="9">
        <f t="shared" si="4"/>
        <v>744.77724161240008</v>
      </c>
      <c r="H13" s="9">
        <f t="shared" si="4"/>
        <v>1580.2240304870443</v>
      </c>
      <c r="I13" s="9">
        <f t="shared" si="4"/>
        <v>2934.7930199622456</v>
      </c>
      <c r="J13" s="1"/>
    </row>
    <row r="14" spans="1:10">
      <c r="A14" s="1" t="s">
        <v>80</v>
      </c>
      <c r="B14" s="1" t="s">
        <v>72</v>
      </c>
      <c r="C14" s="9">
        <f>Hypothèses!C24/1000</f>
        <v>0</v>
      </c>
      <c r="D14" s="9">
        <f>Hypothèses!D24/1000</f>
        <v>30</v>
      </c>
      <c r="E14" s="9">
        <f>Hypothèses!E24/1000</f>
        <v>100</v>
      </c>
      <c r="F14" s="9">
        <f>Hypothèses!F24/1000</f>
        <v>200</v>
      </c>
      <c r="G14" s="9">
        <f>Hypothèses!G24/1000</f>
        <v>350</v>
      </c>
      <c r="H14" s="9">
        <f>Hypothèses!H24/1000</f>
        <v>500</v>
      </c>
      <c r="I14" s="9">
        <f>Hypothèses!I24/1000</f>
        <v>700</v>
      </c>
      <c r="J14" s="1"/>
    </row>
    <row r="15" spans="1:10">
      <c r="A15" s="11" t="s">
        <v>81</v>
      </c>
      <c r="B15" s="11" t="s">
        <v>72</v>
      </c>
      <c r="C15" s="12">
        <f t="shared" ref="C15:I15" si="5">SUM(C6,C13,C14)</f>
        <v>97.5</v>
      </c>
      <c r="D15" s="12">
        <f t="shared" si="5"/>
        <v>943.45950000000005</v>
      </c>
      <c r="E15" s="12">
        <f t="shared" si="5"/>
        <v>3510.0871120000002</v>
      </c>
      <c r="F15" s="12">
        <f t="shared" si="5"/>
        <v>8507.6469348812498</v>
      </c>
      <c r="G15" s="12">
        <f t="shared" si="5"/>
        <v>16934.777241612399</v>
      </c>
      <c r="H15" s="12">
        <f t="shared" si="5"/>
        <v>26930.224030487043</v>
      </c>
      <c r="I15" s="12">
        <f t="shared" si="5"/>
        <v>38634.793019962242</v>
      </c>
      <c r="J15" s="1"/>
    </row>
    <row r="16" spans="1:10">
      <c r="A16" s="1" t="s">
        <v>82</v>
      </c>
      <c r="B16" s="1" t="s">
        <v>72</v>
      </c>
      <c r="C16" s="9">
        <f>C4*Hypothèses!C21/1000</f>
        <v>112.5</v>
      </c>
      <c r="D16" s="9">
        <f>D4*Hypothèses!D21/1000</f>
        <v>624</v>
      </c>
      <c r="E16" s="9">
        <f>E4*Hypothèses!E21/1000</f>
        <v>2205</v>
      </c>
      <c r="F16" s="9">
        <f>F4*Hypothèses!F21/1000</f>
        <v>5060</v>
      </c>
      <c r="G16" s="9">
        <f>G4*Hypothèses!G21/1000</f>
        <v>9460</v>
      </c>
      <c r="H16" s="9">
        <f>H4*Hypothèses!H21/1000</f>
        <v>14350</v>
      </c>
      <c r="I16" s="9">
        <f>I4*Hypothèses!I21/1000</f>
        <v>19500</v>
      </c>
      <c r="J16" s="1"/>
    </row>
    <row r="17" spans="1:10">
      <c r="A17" s="1" t="s">
        <v>83</v>
      </c>
      <c r="B17" s="1" t="s">
        <v>72</v>
      </c>
      <c r="C17" s="9">
        <f>C13*(1-Hypothèses!$B$11)</f>
        <v>0</v>
      </c>
      <c r="D17" s="9">
        <f>D13*(1-Hypothèses!$B$11)</f>
        <v>2.0189250000000003</v>
      </c>
      <c r="E17" s="9">
        <f>E13*(1-Hypothèses!$B$11)</f>
        <v>12.013066800000001</v>
      </c>
      <c r="F17" s="9">
        <f>F13*(1-Hypothèses!$B$11)</f>
        <v>41.647040232187514</v>
      </c>
      <c r="G17" s="9">
        <f>G13*(1-Hypothèses!$B$11)</f>
        <v>111.71658624186003</v>
      </c>
      <c r="H17" s="9">
        <f>H13*(1-Hypothèses!$B$11)</f>
        <v>237.03360457305666</v>
      </c>
      <c r="I17" s="9">
        <f>I13*(1-Hypothèses!$B$11)</f>
        <v>440.21895299433692</v>
      </c>
      <c r="J17" s="1"/>
    </row>
    <row r="18" spans="1:10">
      <c r="A18" s="1" t="s">
        <v>84</v>
      </c>
      <c r="B18" s="1" t="s">
        <v>72</v>
      </c>
      <c r="C18" s="9">
        <f>C14*(1-Hypothèses!$B$12)</f>
        <v>0</v>
      </c>
      <c r="D18" s="9">
        <f>D14*(1-Hypothèses!$B$12)</f>
        <v>13.499999999999998</v>
      </c>
      <c r="E18" s="9">
        <f>E14*(1-Hypothèses!$B$12)</f>
        <v>44.999999999999993</v>
      </c>
      <c r="F18" s="9">
        <f>F14*(1-Hypothèses!$B$12)</f>
        <v>89.999999999999986</v>
      </c>
      <c r="G18" s="9">
        <f>G14*(1-Hypothèses!$B$12)</f>
        <v>157.49999999999997</v>
      </c>
      <c r="H18" s="9">
        <f>H14*(1-Hypothèses!$B$12)</f>
        <v>224.99999999999997</v>
      </c>
      <c r="I18" s="9">
        <f>I14*(1-Hypothèses!$B$12)</f>
        <v>314.99999999999994</v>
      </c>
      <c r="J18" s="1"/>
    </row>
    <row r="19" spans="1:10">
      <c r="A19" s="1" t="s">
        <v>85</v>
      </c>
      <c r="B19" s="1" t="s">
        <v>72</v>
      </c>
      <c r="C19" s="9">
        <f t="shared" ref="C19:I19" si="6">SUM(C16:C18)</f>
        <v>112.5</v>
      </c>
      <c r="D19" s="9">
        <f t="shared" si="6"/>
        <v>639.51892499999997</v>
      </c>
      <c r="E19" s="9">
        <f t="shared" si="6"/>
        <v>2262.0130668000002</v>
      </c>
      <c r="F19" s="9">
        <f t="shared" si="6"/>
        <v>5191.6470402321875</v>
      </c>
      <c r="G19" s="9">
        <f t="shared" si="6"/>
        <v>9729.2165862418606</v>
      </c>
      <c r="H19" s="9">
        <f t="shared" si="6"/>
        <v>14812.033604573056</v>
      </c>
      <c r="I19" s="9">
        <f t="shared" si="6"/>
        <v>20255.218952994335</v>
      </c>
      <c r="J19" s="1"/>
    </row>
    <row r="20" spans="1:10">
      <c r="A20" s="11" t="s">
        <v>86</v>
      </c>
      <c r="B20" s="11" t="s">
        <v>72</v>
      </c>
      <c r="C20" s="12">
        <f t="shared" ref="C20:I20" si="7">C15-C19</f>
        <v>-15</v>
      </c>
      <c r="D20" s="12">
        <f t="shared" si="7"/>
        <v>303.94057500000008</v>
      </c>
      <c r="E20" s="12">
        <f t="shared" si="7"/>
        <v>1248.0740452</v>
      </c>
      <c r="F20" s="12">
        <f t="shared" si="7"/>
        <v>3315.9998946490623</v>
      </c>
      <c r="G20" s="12">
        <f t="shared" si="7"/>
        <v>7205.5606553705384</v>
      </c>
      <c r="H20" s="12">
        <f t="shared" si="7"/>
        <v>12118.190425913986</v>
      </c>
      <c r="I20" s="12">
        <f t="shared" si="7"/>
        <v>18379.574066967907</v>
      </c>
      <c r="J20" s="1"/>
    </row>
    <row r="21" spans="1:10">
      <c r="A21" s="1" t="s">
        <v>87</v>
      </c>
      <c r="B21" s="1" t="s">
        <v>9</v>
      </c>
      <c r="C21" s="10">
        <f t="shared" ref="C21:I21" si="8">IFERROR(C20/C15,0)</f>
        <v>-0.15384615384615385</v>
      </c>
      <c r="D21" s="10">
        <f t="shared" si="8"/>
        <v>0.32215540253715191</v>
      </c>
      <c r="E21" s="10">
        <f t="shared" si="8"/>
        <v>0.35556782648874613</v>
      </c>
      <c r="F21" s="10">
        <f t="shared" si="8"/>
        <v>0.38976698492899403</v>
      </c>
      <c r="G21" s="10">
        <f t="shared" si="8"/>
        <v>0.42548895403624926</v>
      </c>
      <c r="H21" s="10">
        <f t="shared" si="8"/>
        <v>0.44998476106976615</v>
      </c>
      <c r="I21" s="10">
        <f t="shared" si="8"/>
        <v>0.47572596176382648</v>
      </c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14" customWidth="1"/>
    <col min="3" max="9" width="13" customWidth="1"/>
  </cols>
  <sheetData>
    <row r="1" spans="1:10" ht="19">
      <c r="A1" s="25" t="s">
        <v>88</v>
      </c>
      <c r="B1" s="22"/>
      <c r="C1" s="22"/>
      <c r="D1" s="22"/>
      <c r="E1" s="22"/>
      <c r="F1" s="22"/>
      <c r="G1" s="22"/>
      <c r="H1" s="22"/>
      <c r="I1" s="22"/>
      <c r="J1" s="1"/>
    </row>
    <row r="2" spans="1:10">
      <c r="A2" s="23" t="s">
        <v>89</v>
      </c>
      <c r="B2" s="22"/>
      <c r="C2" s="22"/>
      <c r="D2" s="22"/>
      <c r="E2" s="22"/>
      <c r="F2" s="22"/>
      <c r="G2" s="22"/>
      <c r="H2" s="22"/>
      <c r="I2" s="22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2" t="s">
        <v>90</v>
      </c>
      <c r="B4" s="2" t="s">
        <v>5</v>
      </c>
      <c r="C4" s="2">
        <v>2027</v>
      </c>
      <c r="D4" s="2">
        <v>2028</v>
      </c>
      <c r="E4" s="2">
        <v>2029</v>
      </c>
      <c r="F4" s="2">
        <v>2030</v>
      </c>
      <c r="G4" s="2">
        <v>2031</v>
      </c>
      <c r="H4" s="2">
        <v>2032</v>
      </c>
      <c r="I4" s="2">
        <v>2033</v>
      </c>
      <c r="J4" s="1"/>
    </row>
    <row r="5" spans="1:10">
      <c r="A5" s="11" t="s">
        <v>91</v>
      </c>
      <c r="B5" s="11" t="s">
        <v>72</v>
      </c>
      <c r="C5" s="13">
        <f>'Ventes &amp; Marge'!C15</f>
        <v>97.5</v>
      </c>
      <c r="D5" s="13">
        <f>'Ventes &amp; Marge'!D15</f>
        <v>943.45950000000005</v>
      </c>
      <c r="E5" s="13">
        <f>'Ventes &amp; Marge'!E15</f>
        <v>3510.0871120000002</v>
      </c>
      <c r="F5" s="13">
        <f>'Ventes &amp; Marge'!F15</f>
        <v>8507.6469348812498</v>
      </c>
      <c r="G5" s="13">
        <f>'Ventes &amp; Marge'!G15</f>
        <v>16934.777241612399</v>
      </c>
      <c r="H5" s="13">
        <f>'Ventes &amp; Marge'!H15</f>
        <v>26930.224030487043</v>
      </c>
      <c r="I5" s="13">
        <f>'Ventes &amp; Marge'!I15</f>
        <v>38634.793019962242</v>
      </c>
      <c r="J5" s="1"/>
    </row>
    <row r="6" spans="1:10">
      <c r="A6" s="1" t="s">
        <v>85</v>
      </c>
      <c r="B6" s="1" t="s">
        <v>72</v>
      </c>
      <c r="C6" s="14">
        <f>'Ventes &amp; Marge'!C19</f>
        <v>112.5</v>
      </c>
      <c r="D6" s="14">
        <f>'Ventes &amp; Marge'!D19</f>
        <v>639.51892499999997</v>
      </c>
      <c r="E6" s="14">
        <f>'Ventes &amp; Marge'!E19</f>
        <v>2262.0130668000002</v>
      </c>
      <c r="F6" s="14">
        <f>'Ventes &amp; Marge'!F19</f>
        <v>5191.6470402321875</v>
      </c>
      <c r="G6" s="14">
        <f>'Ventes &amp; Marge'!G19</f>
        <v>9729.2165862418606</v>
      </c>
      <c r="H6" s="14">
        <f>'Ventes &amp; Marge'!H19</f>
        <v>14812.033604573056</v>
      </c>
      <c r="I6" s="14">
        <f>'Ventes &amp; Marge'!I19</f>
        <v>20255.218952994335</v>
      </c>
      <c r="J6" s="1"/>
    </row>
    <row r="7" spans="1:10">
      <c r="A7" s="11" t="s">
        <v>86</v>
      </c>
      <c r="B7" s="11" t="s">
        <v>72</v>
      </c>
      <c r="C7" s="13">
        <f t="shared" ref="C7:I7" si="0">C5-C6</f>
        <v>-15</v>
      </c>
      <c r="D7" s="13">
        <f t="shared" si="0"/>
        <v>303.94057500000008</v>
      </c>
      <c r="E7" s="13">
        <f t="shared" si="0"/>
        <v>1248.0740452</v>
      </c>
      <c r="F7" s="13">
        <f t="shared" si="0"/>
        <v>3315.9998946490623</v>
      </c>
      <c r="G7" s="13">
        <f t="shared" si="0"/>
        <v>7205.5606553705384</v>
      </c>
      <c r="H7" s="13">
        <f t="shared" si="0"/>
        <v>12118.190425913986</v>
      </c>
      <c r="I7" s="13">
        <f t="shared" si="0"/>
        <v>18379.574066967907</v>
      </c>
      <c r="J7" s="1"/>
    </row>
    <row r="8" spans="1:10">
      <c r="A8" s="1" t="s">
        <v>87</v>
      </c>
      <c r="B8" s="1" t="s">
        <v>9</v>
      </c>
      <c r="C8" s="15">
        <f t="shared" ref="C8:I8" si="1">IFERROR(C7/C5,0)</f>
        <v>-0.15384615384615385</v>
      </c>
      <c r="D8" s="15">
        <f t="shared" si="1"/>
        <v>0.32215540253715191</v>
      </c>
      <c r="E8" s="15">
        <f t="shared" si="1"/>
        <v>0.35556782648874613</v>
      </c>
      <c r="F8" s="15">
        <f t="shared" si="1"/>
        <v>0.38976698492899403</v>
      </c>
      <c r="G8" s="15">
        <f t="shared" si="1"/>
        <v>0.42548895403624926</v>
      </c>
      <c r="H8" s="15">
        <f t="shared" si="1"/>
        <v>0.44998476106976615</v>
      </c>
      <c r="I8" s="15">
        <f t="shared" si="1"/>
        <v>0.47572596176382648</v>
      </c>
      <c r="J8" s="1"/>
    </row>
    <row r="9" spans="1:10">
      <c r="A9" s="1" t="s">
        <v>92</v>
      </c>
      <c r="B9" s="1" t="s">
        <v>72</v>
      </c>
      <c r="C9" s="14">
        <f>Hypothèses!C25*Hypothèses!C26/1000</f>
        <v>300</v>
      </c>
      <c r="D9" s="14">
        <f>Hypothèses!D25*Hypothèses!D26/1000</f>
        <v>468</v>
      </c>
      <c r="E9" s="14">
        <f>Hypothèses!E25*Hypothèses!E26/1000</f>
        <v>720</v>
      </c>
      <c r="F9" s="14">
        <f>Hypothèses!F25*Hypothèses!F26/1000</f>
        <v>1148</v>
      </c>
      <c r="G9" s="14">
        <f>Hypothèses!G25*Hypothèses!G26/1000</f>
        <v>1680</v>
      </c>
      <c r="H9" s="14">
        <f>Hypothèses!H25*Hypothèses!H26/1000</f>
        <v>2408</v>
      </c>
      <c r="I9" s="14">
        <f>Hypothèses!I25*Hypothèses!I26/1000</f>
        <v>3168</v>
      </c>
      <c r="J9" s="1"/>
    </row>
    <row r="10" spans="1:10">
      <c r="A10" s="1" t="s">
        <v>93</v>
      </c>
      <c r="B10" s="1" t="s">
        <v>72</v>
      </c>
      <c r="C10" s="14">
        <f>Hypothèses!C27/1000</f>
        <v>400</v>
      </c>
      <c r="D10" s="14">
        <f>Hypothèses!D27/1000</f>
        <v>500</v>
      </c>
      <c r="E10" s="14">
        <f>Hypothèses!E27/1000</f>
        <v>600</v>
      </c>
      <c r="F10" s="14">
        <f>Hypothèses!F27/1000</f>
        <v>700</v>
      </c>
      <c r="G10" s="14">
        <f>Hypothèses!G27/1000</f>
        <v>850</v>
      </c>
      <c r="H10" s="14">
        <f>Hypothèses!H27/1000</f>
        <v>1000</v>
      </c>
      <c r="I10" s="14">
        <f>Hypothèses!I27/1000</f>
        <v>1200</v>
      </c>
      <c r="J10" s="1"/>
    </row>
    <row r="11" spans="1:10">
      <c r="A11" s="1" t="s">
        <v>49</v>
      </c>
      <c r="B11" s="1" t="s">
        <v>72</v>
      </c>
      <c r="C11" s="14">
        <f>Hypothèses!C28/1000</f>
        <v>80</v>
      </c>
      <c r="D11" s="14">
        <f>Hypothèses!D28/1000</f>
        <v>180</v>
      </c>
      <c r="E11" s="14">
        <f>Hypothèses!E28/1000</f>
        <v>350</v>
      </c>
      <c r="F11" s="14">
        <f>Hypothèses!F28/1000</f>
        <v>600</v>
      </c>
      <c r="G11" s="14">
        <f>Hypothèses!G28/1000</f>
        <v>900</v>
      </c>
      <c r="H11" s="14">
        <f>Hypothèses!H28/1000</f>
        <v>1300</v>
      </c>
      <c r="I11" s="14">
        <f>Hypothèses!I28/1000</f>
        <v>1800</v>
      </c>
      <c r="J11" s="1"/>
    </row>
    <row r="12" spans="1:10">
      <c r="A12" s="1" t="s">
        <v>50</v>
      </c>
      <c r="B12" s="1" t="s">
        <v>72</v>
      </c>
      <c r="C12" s="14">
        <f>Hypothèses!C29/1000</f>
        <v>120</v>
      </c>
      <c r="D12" s="14">
        <f>Hypothèses!D29/1000</f>
        <v>180</v>
      </c>
      <c r="E12" s="14">
        <f>Hypothèses!E29/1000</f>
        <v>250</v>
      </c>
      <c r="F12" s="14">
        <f>Hypothèses!F29/1000</f>
        <v>350</v>
      </c>
      <c r="G12" s="14">
        <f>Hypothèses!G29/1000</f>
        <v>450</v>
      </c>
      <c r="H12" s="14">
        <f>Hypothèses!H29/1000</f>
        <v>600</v>
      </c>
      <c r="I12" s="14">
        <f>Hypothèses!I29/1000</f>
        <v>750</v>
      </c>
      <c r="J12" s="1"/>
    </row>
    <row r="13" spans="1:10">
      <c r="A13" s="1" t="s">
        <v>94</v>
      </c>
      <c r="B13" s="1" t="s">
        <v>72</v>
      </c>
      <c r="C13" s="14">
        <f t="shared" ref="C13:I13" si="2">SUM(C9:C12)</f>
        <v>900</v>
      </c>
      <c r="D13" s="14">
        <f t="shared" si="2"/>
        <v>1328</v>
      </c>
      <c r="E13" s="14">
        <f t="shared" si="2"/>
        <v>1920</v>
      </c>
      <c r="F13" s="14">
        <f t="shared" si="2"/>
        <v>2798</v>
      </c>
      <c r="G13" s="14">
        <f t="shared" si="2"/>
        <v>3880</v>
      </c>
      <c r="H13" s="14">
        <f t="shared" si="2"/>
        <v>5308</v>
      </c>
      <c r="I13" s="14">
        <f t="shared" si="2"/>
        <v>6918</v>
      </c>
      <c r="J13" s="1"/>
    </row>
    <row r="14" spans="1:10">
      <c r="A14" s="11" t="s">
        <v>95</v>
      </c>
      <c r="B14" s="11" t="s">
        <v>72</v>
      </c>
      <c r="C14" s="13">
        <f t="shared" ref="C14:I14" si="3">C7-C13</f>
        <v>-915</v>
      </c>
      <c r="D14" s="13">
        <f t="shared" si="3"/>
        <v>-1024.0594249999999</v>
      </c>
      <c r="E14" s="13">
        <f t="shared" si="3"/>
        <v>-671.9259548</v>
      </c>
      <c r="F14" s="13">
        <f t="shared" si="3"/>
        <v>517.9998946490623</v>
      </c>
      <c r="G14" s="13">
        <f t="shared" si="3"/>
        <v>3325.5606553705384</v>
      </c>
      <c r="H14" s="13">
        <f t="shared" si="3"/>
        <v>6810.1904259139865</v>
      </c>
      <c r="I14" s="13">
        <f t="shared" si="3"/>
        <v>11461.574066967907</v>
      </c>
      <c r="J14" s="1"/>
    </row>
    <row r="15" spans="1:10">
      <c r="A15" s="1" t="s">
        <v>96</v>
      </c>
      <c r="B15" s="1" t="s">
        <v>9</v>
      </c>
      <c r="C15" s="15">
        <f t="shared" ref="C15:I15" si="4">IFERROR(C14/C5,0)</f>
        <v>-9.384615384615385</v>
      </c>
      <c r="D15" s="15">
        <f t="shared" si="4"/>
        <v>-1.0854301906971098</v>
      </c>
      <c r="E15" s="15">
        <f t="shared" si="4"/>
        <v>-0.19142714507080871</v>
      </c>
      <c r="F15" s="15">
        <f t="shared" si="4"/>
        <v>6.0886388282671788E-2</v>
      </c>
      <c r="G15" s="15">
        <f t="shared" si="4"/>
        <v>0.19637463238659666</v>
      </c>
      <c r="H15" s="15">
        <f t="shared" si="4"/>
        <v>0.25288279882871889</v>
      </c>
      <c r="I15" s="15">
        <f t="shared" si="4"/>
        <v>0.29666456504751604</v>
      </c>
      <c r="J15" s="1"/>
    </row>
    <row r="16" spans="1:10">
      <c r="A16" s="1" t="s">
        <v>97</v>
      </c>
      <c r="B16" s="1" t="s">
        <v>72</v>
      </c>
      <c r="C16" s="14">
        <f>SUM(Hypothèses!C30)/Hypothèses!$B$14/1000</f>
        <v>40</v>
      </c>
      <c r="D16" s="14">
        <f>SUM(Hypothèses!C30,Hypothèses!D30)/Hypothèses!$B$14/1000</f>
        <v>90</v>
      </c>
      <c r="E16" s="14">
        <f>SUM(Hypothèses!C30,Hypothèses!D30,Hypothèses!E30)/Hypothèses!$B$14/1000</f>
        <v>150</v>
      </c>
      <c r="F16" s="14">
        <f>SUM(Hypothèses!C30,Hypothèses!D30,Hypothèses!E30,Hypothèses!F30)/Hypothèses!$B$14/1000</f>
        <v>230</v>
      </c>
      <c r="G16" s="14">
        <f>SUM(Hypothèses!C30,Hypothèses!D30,Hypothèses!E30,Hypothèses!F30,Hypothèses!G30)/Hypothèses!$B$14/1000</f>
        <v>330</v>
      </c>
      <c r="H16" s="14">
        <f>SUM(Hypothèses!D30,Hypothèses!E30,Hypothèses!F30,Hypothèses!G30,Hypothèses!H30)/Hypothèses!$B$14/1000</f>
        <v>410</v>
      </c>
      <c r="I16" s="14">
        <f>SUM(Hypothèses!E30,Hypothèses!F30,Hypothèses!G30,Hypothèses!H30,Hypothèses!I30)/Hypothèses!$B$14/1000</f>
        <v>500</v>
      </c>
      <c r="J16" s="1"/>
    </row>
    <row r="17" spans="1:10">
      <c r="A17" s="1" t="s">
        <v>98</v>
      </c>
      <c r="B17" s="1" t="s">
        <v>72</v>
      </c>
      <c r="C17" s="14">
        <f t="shared" ref="C17:I17" si="5">C14-C16</f>
        <v>-955</v>
      </c>
      <c r="D17" s="14">
        <f t="shared" si="5"/>
        <v>-1114.0594249999999</v>
      </c>
      <c r="E17" s="14">
        <f t="shared" si="5"/>
        <v>-821.9259548</v>
      </c>
      <c r="F17" s="14">
        <f t="shared" si="5"/>
        <v>287.9998946490623</v>
      </c>
      <c r="G17" s="14">
        <f t="shared" si="5"/>
        <v>2995.5606553705384</v>
      </c>
      <c r="H17" s="14">
        <f t="shared" si="5"/>
        <v>6400.1904259139865</v>
      </c>
      <c r="I17" s="14">
        <f t="shared" si="5"/>
        <v>10961.574066967907</v>
      </c>
      <c r="J17" s="1"/>
    </row>
    <row r="18" spans="1:10">
      <c r="A18" s="1" t="s">
        <v>99</v>
      </c>
      <c r="B18" s="1" t="s">
        <v>72</v>
      </c>
      <c r="C18" s="14">
        <f t="shared" ref="C18:I18" si="6">C17</f>
        <v>-955</v>
      </c>
      <c r="D18" s="14">
        <f t="shared" si="6"/>
        <v>-1114.0594249999999</v>
      </c>
      <c r="E18" s="14">
        <f t="shared" si="6"/>
        <v>-821.9259548</v>
      </c>
      <c r="F18" s="14">
        <f t="shared" si="6"/>
        <v>287.9998946490623</v>
      </c>
      <c r="G18" s="14">
        <f t="shared" si="6"/>
        <v>2995.5606553705384</v>
      </c>
      <c r="H18" s="14">
        <f t="shared" si="6"/>
        <v>6400.1904259139865</v>
      </c>
      <c r="I18" s="14">
        <f t="shared" si="6"/>
        <v>10961.574066967907</v>
      </c>
      <c r="J18" s="1"/>
    </row>
    <row r="19" spans="1:10">
      <c r="A19" s="1" t="s">
        <v>100</v>
      </c>
      <c r="B19" s="1"/>
      <c r="C19" s="14" t="s">
        <v>101</v>
      </c>
      <c r="D19" s="14" t="s">
        <v>101</v>
      </c>
      <c r="E19" s="14" t="s">
        <v>101</v>
      </c>
      <c r="F19" s="14" t="s">
        <v>101</v>
      </c>
      <c r="G19" s="14" t="s">
        <v>101</v>
      </c>
      <c r="H19" s="14" t="s">
        <v>101</v>
      </c>
      <c r="I19" s="14" t="s">
        <v>101</v>
      </c>
      <c r="J19" s="1"/>
    </row>
    <row r="20" spans="1:10">
      <c r="A20" s="1" t="s">
        <v>102</v>
      </c>
      <c r="B20" s="1" t="s">
        <v>72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"/>
    </row>
    <row r="21" spans="1:10">
      <c r="A21" s="11" t="s">
        <v>103</v>
      </c>
      <c r="B21" s="11" t="s">
        <v>72</v>
      </c>
      <c r="C21" s="13">
        <f t="shared" ref="C21:I21" si="7">C18</f>
        <v>-955</v>
      </c>
      <c r="D21" s="13">
        <f t="shared" si="7"/>
        <v>-1114.0594249999999</v>
      </c>
      <c r="E21" s="13">
        <f t="shared" si="7"/>
        <v>-821.9259548</v>
      </c>
      <c r="F21" s="13">
        <f t="shared" si="7"/>
        <v>287.9998946490623</v>
      </c>
      <c r="G21" s="13">
        <f t="shared" si="7"/>
        <v>2995.5606553705384</v>
      </c>
      <c r="H21" s="13">
        <f t="shared" si="7"/>
        <v>6400.1904259139865</v>
      </c>
      <c r="I21" s="13">
        <f t="shared" si="7"/>
        <v>10961.574066967907</v>
      </c>
      <c r="J21" s="1"/>
    </row>
    <row r="22" spans="1:10">
      <c r="A22" s="1"/>
      <c r="B22" s="1"/>
      <c r="C22" s="14"/>
      <c r="D22" s="14"/>
      <c r="E22" s="14"/>
      <c r="F22" s="14"/>
      <c r="G22" s="14"/>
      <c r="H22" s="14"/>
      <c r="I22" s="14"/>
      <c r="J22" s="1"/>
    </row>
    <row r="23" spans="1:10">
      <c r="A23" s="1"/>
      <c r="B23" s="1"/>
      <c r="C23" s="14"/>
      <c r="D23" s="14"/>
      <c r="E23" s="14"/>
      <c r="F23" s="14"/>
      <c r="G23" s="14"/>
      <c r="H23" s="14"/>
      <c r="I23" s="14"/>
      <c r="J23" s="1"/>
    </row>
    <row r="24" spans="1:10">
      <c r="A24" s="11"/>
      <c r="B24" s="11"/>
      <c r="C24" s="13"/>
      <c r="D24" s="13"/>
      <c r="E24" s="13"/>
      <c r="F24" s="13"/>
      <c r="G24" s="13"/>
      <c r="H24" s="13"/>
      <c r="I24" s="13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2" width="14" customWidth="1"/>
    <col min="3" max="9" width="13" customWidth="1"/>
  </cols>
  <sheetData>
    <row r="1" spans="1:10" ht="19">
      <c r="A1" s="25" t="s">
        <v>104</v>
      </c>
      <c r="B1" s="22"/>
      <c r="C1" s="22"/>
      <c r="D1" s="22"/>
      <c r="E1" s="22"/>
      <c r="F1" s="22"/>
      <c r="G1" s="22"/>
      <c r="H1" s="22"/>
      <c r="I1" s="22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105</v>
      </c>
      <c r="B3" s="2" t="s">
        <v>5</v>
      </c>
      <c r="C3" s="2">
        <v>2027</v>
      </c>
      <c r="D3" s="2">
        <v>2028</v>
      </c>
      <c r="E3" s="2">
        <v>2029</v>
      </c>
      <c r="F3" s="2">
        <v>2030</v>
      </c>
      <c r="G3" s="2">
        <v>2031</v>
      </c>
      <c r="H3" s="2">
        <v>2032</v>
      </c>
      <c r="I3" s="2">
        <v>2033</v>
      </c>
      <c r="J3" s="1"/>
    </row>
    <row r="4" spans="1:10">
      <c r="A4" s="1" t="s">
        <v>95</v>
      </c>
      <c r="B4" s="1" t="s">
        <v>72</v>
      </c>
      <c r="C4" s="14">
        <f>'P&amp;L'!C14</f>
        <v>-915</v>
      </c>
      <c r="D4" s="14">
        <f>'P&amp;L'!D14</f>
        <v>-1024.0594249999999</v>
      </c>
      <c r="E4" s="14">
        <f>'P&amp;L'!E14</f>
        <v>-671.9259548</v>
      </c>
      <c r="F4" s="14">
        <f>'P&amp;L'!F14</f>
        <v>517.9998946490623</v>
      </c>
      <c r="G4" s="14">
        <f>'P&amp;L'!G14</f>
        <v>3325.5606553705384</v>
      </c>
      <c r="H4" s="14">
        <f>'P&amp;L'!H14</f>
        <v>6810.1904259139865</v>
      </c>
      <c r="I4" s="14">
        <f>'P&amp;L'!I14</f>
        <v>11461.574066967907</v>
      </c>
      <c r="J4" s="1"/>
    </row>
    <row r="5" spans="1:10">
      <c r="A5" s="1" t="s">
        <v>106</v>
      </c>
      <c r="B5" s="1" t="s">
        <v>72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"/>
    </row>
    <row r="6" spans="1:10">
      <c r="A6" s="1" t="s">
        <v>51</v>
      </c>
      <c r="B6" s="1" t="s">
        <v>72</v>
      </c>
      <c r="C6" s="14">
        <f>Hypothèses!C30/1000</f>
        <v>200</v>
      </c>
      <c r="D6" s="14">
        <f>Hypothèses!D30/1000</f>
        <v>250</v>
      </c>
      <c r="E6" s="14">
        <f>Hypothèses!E30/1000</f>
        <v>300</v>
      </c>
      <c r="F6" s="14">
        <f>Hypothèses!F30/1000</f>
        <v>400</v>
      </c>
      <c r="G6" s="14">
        <f>Hypothèses!G30/1000</f>
        <v>500</v>
      </c>
      <c r="H6" s="14">
        <f>Hypothèses!H30/1000</f>
        <v>600</v>
      </c>
      <c r="I6" s="14">
        <f>Hypothèses!I30/1000</f>
        <v>700</v>
      </c>
      <c r="J6" s="1"/>
    </row>
    <row r="7" spans="1:10">
      <c r="A7" s="1" t="s">
        <v>107</v>
      </c>
      <c r="B7" s="1" t="s">
        <v>72</v>
      </c>
      <c r="C7" s="14">
        <f>'Ventes &amp; Marge'!C15*Hypothèses!$B$7/365</f>
        <v>12.020547945205479</v>
      </c>
      <c r="D7" s="14">
        <f>'Ventes &amp; Marge'!D15*Hypothèses!$B$7/365</f>
        <v>116.31692465753426</v>
      </c>
      <c r="E7" s="14">
        <f>'Ventes &amp; Marge'!E15*Hypothèses!$B$7/365</f>
        <v>432.75046586301369</v>
      </c>
      <c r="F7" s="14">
        <f>'Ventes &amp; Marge'!F15*Hypothèses!$B$7/365</f>
        <v>1048.8879782730307</v>
      </c>
      <c r="G7" s="14">
        <f>'Ventes &amp; Marge'!G15*Hypothèses!$B$7/365</f>
        <v>2087.849248965912</v>
      </c>
      <c r="H7" s="14">
        <f>'Ventes &amp; Marge'!H15*Hypothèses!$B$7/365</f>
        <v>3320.1646064984025</v>
      </c>
      <c r="I7" s="14">
        <f>'Ventes &amp; Marge'!I15*Hypothèses!$B$7/365</f>
        <v>4763.1936599953451</v>
      </c>
      <c r="J7" s="1"/>
    </row>
    <row r="8" spans="1:10">
      <c r="A8" s="1" t="s">
        <v>108</v>
      </c>
      <c r="B8" s="1" t="s">
        <v>72</v>
      </c>
      <c r="C8" s="14">
        <f>'Ventes &amp; Marge'!C16*Hypothèses!$B$8/365</f>
        <v>9.2465753424657535</v>
      </c>
      <c r="D8" s="14">
        <f>'Ventes &amp; Marge'!D16*Hypothèses!$B$8/365</f>
        <v>51.287671232876711</v>
      </c>
      <c r="E8" s="14">
        <f>'Ventes &amp; Marge'!E16*Hypothèses!$B$8/365</f>
        <v>181.23287671232876</v>
      </c>
      <c r="F8" s="14">
        <f>'Ventes &amp; Marge'!F16*Hypothèses!$B$8/365</f>
        <v>415.89041095890411</v>
      </c>
      <c r="G8" s="14">
        <f>'Ventes &amp; Marge'!G16*Hypothèses!$B$8/365</f>
        <v>777.53424657534242</v>
      </c>
      <c r="H8" s="14">
        <f>'Ventes &amp; Marge'!H16*Hypothèses!$B$8/365</f>
        <v>1179.4520547945206</v>
      </c>
      <c r="I8" s="14">
        <f>'Ventes &amp; Marge'!I16*Hypothèses!$B$8/365</f>
        <v>1602.7397260273972</v>
      </c>
      <c r="J8" s="1"/>
    </row>
    <row r="9" spans="1:10">
      <c r="A9" s="1" t="s">
        <v>109</v>
      </c>
      <c r="B9" s="1" t="s">
        <v>72</v>
      </c>
      <c r="C9" s="14">
        <f>'Ventes &amp; Marge'!C19*Hypothèses!$B$9/365</f>
        <v>13.86986301369863</v>
      </c>
      <c r="D9" s="14">
        <f>'Ventes &amp; Marge'!D19*Hypothèses!$B$9/365</f>
        <v>78.844798972602732</v>
      </c>
      <c r="E9" s="14">
        <f>'Ventes &amp; Marge'!E19*Hypothèses!$B$9/365</f>
        <v>278.87832330410959</v>
      </c>
      <c r="F9" s="14">
        <f>'Ventes &amp; Marge'!F19*Hypothèses!$B$9/365</f>
        <v>640.06607345328337</v>
      </c>
      <c r="G9" s="14">
        <f>'Ventes &amp; Marge'!G19*Hypothèses!$B$9/365</f>
        <v>1199.4924558380376</v>
      </c>
      <c r="H9" s="14">
        <f>'Ventes &amp; Marge'!H19*Hypothèses!$B$9/365</f>
        <v>1826.141129330925</v>
      </c>
      <c r="I9" s="14">
        <f>'Ventes &amp; Marge'!I19*Hypothèses!$B$9/365</f>
        <v>2497.2187750266989</v>
      </c>
      <c r="J9" s="1"/>
    </row>
    <row r="10" spans="1:10">
      <c r="A10" s="1" t="s">
        <v>110</v>
      </c>
      <c r="B10" s="1" t="s">
        <v>72</v>
      </c>
      <c r="C10" s="14">
        <f t="shared" ref="C10:I10" si="0">C7+C8-C9</f>
        <v>7.3972602739726021</v>
      </c>
      <c r="D10" s="14">
        <f t="shared" si="0"/>
        <v>88.759796917808231</v>
      </c>
      <c r="E10" s="14">
        <f t="shared" si="0"/>
        <v>335.10501927123289</v>
      </c>
      <c r="F10" s="14">
        <f t="shared" si="0"/>
        <v>824.71231577865149</v>
      </c>
      <c r="G10" s="14">
        <f t="shared" si="0"/>
        <v>1665.8910397032168</v>
      </c>
      <c r="H10" s="14">
        <f t="shared" si="0"/>
        <v>2673.4755319619981</v>
      </c>
      <c r="I10" s="14">
        <f t="shared" si="0"/>
        <v>3868.7146109960436</v>
      </c>
      <c r="J10" s="1"/>
    </row>
    <row r="11" spans="1:10">
      <c r="A11" s="1" t="s">
        <v>111</v>
      </c>
      <c r="B11" s="1" t="s">
        <v>72</v>
      </c>
      <c r="C11" s="14">
        <f>C10</f>
        <v>7.3972602739726021</v>
      </c>
      <c r="D11" s="14">
        <f t="shared" ref="D11:I11" si="1">D10-C10</f>
        <v>81.362536643835625</v>
      </c>
      <c r="E11" s="14">
        <f t="shared" si="1"/>
        <v>246.34522235342467</v>
      </c>
      <c r="F11" s="14">
        <f t="shared" si="1"/>
        <v>489.6072965074186</v>
      </c>
      <c r="G11" s="14">
        <f t="shared" si="1"/>
        <v>841.17872392456536</v>
      </c>
      <c r="H11" s="14">
        <f t="shared" si="1"/>
        <v>1007.5844922587812</v>
      </c>
      <c r="I11" s="14">
        <f t="shared" si="1"/>
        <v>1195.2390790340455</v>
      </c>
      <c r="J11" s="1"/>
    </row>
    <row r="12" spans="1:10">
      <c r="A12" s="11" t="s">
        <v>112</v>
      </c>
      <c r="B12" s="11" t="s">
        <v>72</v>
      </c>
      <c r="C12" s="13">
        <f t="shared" ref="C12:I12" si="2">C4-C5-C6-C11</f>
        <v>-1122.3972602739725</v>
      </c>
      <c r="D12" s="13">
        <f t="shared" si="2"/>
        <v>-1355.4219616438356</v>
      </c>
      <c r="E12" s="13">
        <f t="shared" si="2"/>
        <v>-1218.2711771534246</v>
      </c>
      <c r="F12" s="13">
        <f t="shared" si="2"/>
        <v>-371.6074018583563</v>
      </c>
      <c r="G12" s="13">
        <f t="shared" si="2"/>
        <v>1984.3819314459729</v>
      </c>
      <c r="H12" s="13">
        <f t="shared" si="2"/>
        <v>5202.6059336552053</v>
      </c>
      <c r="I12" s="13">
        <f t="shared" si="2"/>
        <v>9566.3349879338621</v>
      </c>
      <c r="J12" s="1"/>
    </row>
    <row r="13" spans="1:10">
      <c r="A13" s="1" t="s">
        <v>113</v>
      </c>
      <c r="B13" s="1" t="s">
        <v>72</v>
      </c>
      <c r="C13" s="14">
        <f>Hypothèses!$B$13/1000</f>
        <v>250</v>
      </c>
      <c r="D13" s="14">
        <f t="shared" ref="D13:I13" si="3">C15</f>
        <v>627.60273972602749</v>
      </c>
      <c r="E13" s="14">
        <f t="shared" si="3"/>
        <v>772.18077808219186</v>
      </c>
      <c r="F13" s="14">
        <f t="shared" si="3"/>
        <v>1053.9096009287673</v>
      </c>
      <c r="G13" s="14">
        <f t="shared" si="3"/>
        <v>682.30219907041101</v>
      </c>
      <c r="H13" s="14">
        <f t="shared" si="3"/>
        <v>2666.6841305163839</v>
      </c>
      <c r="I13" s="14">
        <f t="shared" si="3"/>
        <v>7869.2900641715896</v>
      </c>
      <c r="J13" s="1"/>
    </row>
    <row r="14" spans="1:10">
      <c r="A14" s="1" t="s">
        <v>52</v>
      </c>
      <c r="B14" s="1" t="s">
        <v>72</v>
      </c>
      <c r="C14" s="14">
        <f>Hypothèses!C31/1000</f>
        <v>1500</v>
      </c>
      <c r="D14" s="14">
        <f>Hypothèses!D31/1000</f>
        <v>1500</v>
      </c>
      <c r="E14" s="14">
        <f>Hypothèses!E31/1000</f>
        <v>1500</v>
      </c>
      <c r="F14" s="14">
        <f>Hypothèses!F31/1000</f>
        <v>0</v>
      </c>
      <c r="G14" s="14">
        <f>Hypothèses!G31/1000</f>
        <v>0</v>
      </c>
      <c r="H14" s="14">
        <f>Hypothèses!H31/1000</f>
        <v>0</v>
      </c>
      <c r="I14" s="14">
        <f>Hypothèses!I31/1000</f>
        <v>0</v>
      </c>
      <c r="J14" s="1"/>
    </row>
    <row r="15" spans="1:10">
      <c r="A15" s="16" t="s">
        <v>114</v>
      </c>
      <c r="B15" s="16" t="s">
        <v>72</v>
      </c>
      <c r="C15" s="17">
        <f t="shared" ref="C15:I15" si="4">C13+C12+C14</f>
        <v>627.60273972602749</v>
      </c>
      <c r="D15" s="17">
        <f t="shared" si="4"/>
        <v>772.18077808219186</v>
      </c>
      <c r="E15" s="17">
        <f t="shared" si="4"/>
        <v>1053.9096009287673</v>
      </c>
      <c r="F15" s="17">
        <f t="shared" si="4"/>
        <v>682.30219907041101</v>
      </c>
      <c r="G15" s="17">
        <f t="shared" si="4"/>
        <v>2666.6841305163839</v>
      </c>
      <c r="H15" s="17">
        <f t="shared" si="4"/>
        <v>7869.2900641715896</v>
      </c>
      <c r="I15" s="17">
        <f t="shared" si="4"/>
        <v>17435.625052105454</v>
      </c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26" t="s">
        <v>115</v>
      </c>
      <c r="B17" s="22"/>
      <c r="C17" s="22"/>
      <c r="D17" s="22"/>
      <c r="E17" s="22"/>
      <c r="F17" s="22"/>
      <c r="G17" s="22"/>
      <c r="H17" s="22"/>
      <c r="I17" s="22"/>
      <c r="J17" s="1"/>
    </row>
    <row r="18" spans="1:10">
      <c r="A18" s="22"/>
      <c r="B18" s="22"/>
      <c r="C18" s="22"/>
      <c r="D18" s="22"/>
      <c r="E18" s="22"/>
      <c r="F18" s="22"/>
      <c r="G18" s="22"/>
      <c r="H18" s="22"/>
      <c r="I18" s="22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2">
    <mergeCell ref="A1:I1"/>
    <mergeCell ref="A17:I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0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30" customWidth="1"/>
    <col min="2" max="3" width="16" customWidth="1"/>
    <col min="4" max="6" width="24" customWidth="1"/>
  </cols>
  <sheetData>
    <row r="1" spans="1:10" ht="19">
      <c r="A1" s="25" t="s">
        <v>116</v>
      </c>
      <c r="B1" s="22"/>
      <c r="C1" s="22"/>
      <c r="D1" s="22"/>
      <c r="E1" s="22"/>
      <c r="F1" s="22"/>
      <c r="G1" s="1"/>
      <c r="H1" s="1"/>
      <c r="I1" s="1"/>
      <c r="J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6">
      <c r="A3" s="24" t="s">
        <v>117</v>
      </c>
      <c r="B3" s="22"/>
      <c r="C3" s="22"/>
      <c r="D3" s="1"/>
      <c r="E3" s="1"/>
      <c r="F3" s="1"/>
      <c r="G3" s="1"/>
      <c r="H3" s="1"/>
      <c r="I3" s="1"/>
      <c r="J3" s="1"/>
    </row>
    <row r="4" spans="1:10">
      <c r="A4" s="1" t="s">
        <v>118</v>
      </c>
      <c r="B4" s="1" t="s">
        <v>28</v>
      </c>
      <c r="C4" s="18">
        <f>Hypothèses!D20</f>
        <v>7500</v>
      </c>
      <c r="D4" s="1"/>
      <c r="E4" s="1"/>
      <c r="F4" s="1"/>
      <c r="G4" s="1"/>
      <c r="H4" s="1"/>
      <c r="I4" s="1"/>
      <c r="J4" s="1"/>
    </row>
    <row r="5" spans="1:10">
      <c r="A5" s="1" t="s">
        <v>119</v>
      </c>
      <c r="B5" s="1" t="s">
        <v>55</v>
      </c>
      <c r="C5" s="18">
        <f>Hypothèses!$B$36</f>
        <v>1800</v>
      </c>
      <c r="D5" s="1"/>
      <c r="E5" s="1"/>
      <c r="F5" s="1"/>
      <c r="G5" s="1"/>
      <c r="H5" s="1"/>
      <c r="I5" s="1"/>
      <c r="J5" s="1"/>
    </row>
    <row r="6" spans="1:10">
      <c r="A6" s="1" t="s">
        <v>120</v>
      </c>
      <c r="B6" s="1" t="s">
        <v>59</v>
      </c>
      <c r="C6" s="18">
        <f>Hypothèses!$B$37</f>
        <v>1.35</v>
      </c>
      <c r="D6" s="1"/>
      <c r="E6" s="1"/>
      <c r="F6" s="1"/>
      <c r="G6" s="1"/>
      <c r="H6" s="1"/>
      <c r="I6" s="1"/>
      <c r="J6" s="1"/>
    </row>
    <row r="7" spans="1:10">
      <c r="A7" s="1" t="s">
        <v>121</v>
      </c>
      <c r="B7" s="1" t="s">
        <v>43</v>
      </c>
      <c r="C7" s="18">
        <f>C5*C6</f>
        <v>2430</v>
      </c>
      <c r="D7" s="1"/>
      <c r="E7" s="1"/>
      <c r="F7" s="1"/>
      <c r="G7" s="1"/>
      <c r="H7" s="1"/>
      <c r="I7" s="1"/>
      <c r="J7" s="1"/>
    </row>
    <row r="8" spans="1:10">
      <c r="A8" s="1" t="s">
        <v>62</v>
      </c>
      <c r="B8" s="1" t="s">
        <v>43</v>
      </c>
      <c r="C8" s="18">
        <f>Hypothèses!$B$38</f>
        <v>250</v>
      </c>
      <c r="D8" s="1"/>
      <c r="E8" s="1"/>
      <c r="F8" s="1"/>
      <c r="G8" s="1"/>
      <c r="H8" s="1"/>
      <c r="I8" s="1"/>
      <c r="J8" s="1"/>
    </row>
    <row r="9" spans="1:10">
      <c r="A9" s="1" t="s">
        <v>40</v>
      </c>
      <c r="B9" s="1" t="s">
        <v>43</v>
      </c>
      <c r="C9" s="18">
        <f>Hypothèses!$B$39</f>
        <v>300</v>
      </c>
      <c r="D9" s="1"/>
      <c r="E9" s="1"/>
      <c r="F9" s="1"/>
      <c r="G9" s="1"/>
      <c r="H9" s="1"/>
      <c r="I9" s="1"/>
      <c r="J9" s="1"/>
    </row>
    <row r="10" spans="1:10">
      <c r="A10" s="1" t="s">
        <v>122</v>
      </c>
      <c r="B10" s="1" t="s">
        <v>43</v>
      </c>
      <c r="C10" s="18">
        <f>C7+C8-C9</f>
        <v>2380</v>
      </c>
      <c r="D10" s="1"/>
      <c r="E10" s="1"/>
      <c r="F10" s="1"/>
      <c r="G10" s="1"/>
      <c r="H10" s="1"/>
      <c r="I10" s="1"/>
      <c r="J10" s="1"/>
    </row>
    <row r="11" spans="1:10">
      <c r="A11" s="1" t="s">
        <v>123</v>
      </c>
      <c r="B11" s="1" t="s">
        <v>31</v>
      </c>
      <c r="C11" s="19">
        <f>C4/C10</f>
        <v>3.1512605042016806</v>
      </c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6">
      <c r="A14" s="24" t="s">
        <v>124</v>
      </c>
      <c r="B14" s="22"/>
      <c r="C14" s="22"/>
      <c r="D14" s="1"/>
      <c r="E14" s="1"/>
      <c r="F14" s="1"/>
      <c r="G14" s="1"/>
      <c r="H14" s="1"/>
      <c r="I14" s="1"/>
      <c r="J14" s="1"/>
    </row>
    <row r="15" spans="1:10">
      <c r="A15" s="1" t="s">
        <v>125</v>
      </c>
      <c r="B15" s="1" t="s">
        <v>28</v>
      </c>
      <c r="C15" s="18">
        <f>Hypothèses!$B$40</f>
        <v>6900</v>
      </c>
      <c r="D15" s="1"/>
      <c r="E15" s="1"/>
      <c r="F15" s="1"/>
      <c r="G15" s="1"/>
      <c r="H15" s="1"/>
      <c r="I15" s="1"/>
      <c r="J15" s="1"/>
    </row>
    <row r="16" spans="1:10">
      <c r="A16" s="1" t="s">
        <v>126</v>
      </c>
      <c r="B16" s="1" t="s">
        <v>31</v>
      </c>
      <c r="C16" s="19">
        <f>C15/C10</f>
        <v>2.8991596638655461</v>
      </c>
      <c r="D16" s="1"/>
      <c r="E16" s="1"/>
      <c r="F16" s="1"/>
      <c r="G16" s="1"/>
      <c r="H16" s="1"/>
      <c r="I16" s="1"/>
      <c r="J16" s="1"/>
    </row>
    <row r="17" spans="1:10">
      <c r="A17" s="1" t="s">
        <v>127</v>
      </c>
      <c r="B17" s="1"/>
      <c r="C17" s="1" t="s">
        <v>128</v>
      </c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6">
      <c r="A20" s="24" t="s">
        <v>129</v>
      </c>
      <c r="B20" s="22"/>
      <c r="C20" s="22"/>
      <c r="D20" s="22"/>
      <c r="E20" s="22"/>
      <c r="F20" s="22"/>
      <c r="G20" s="1"/>
      <c r="H20" s="1"/>
      <c r="I20" s="1"/>
      <c r="J20" s="1"/>
    </row>
    <row r="21" spans="1:10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135</v>
      </c>
      <c r="G21" s="1"/>
      <c r="H21" s="1"/>
      <c r="I21" s="1"/>
      <c r="J21" s="1"/>
    </row>
    <row r="22" spans="1:10">
      <c r="A22" s="1" t="s">
        <v>136</v>
      </c>
      <c r="B22" s="1" t="s">
        <v>137</v>
      </c>
      <c r="C22" s="1" t="s">
        <v>64</v>
      </c>
      <c r="D22" s="1" t="s">
        <v>138</v>
      </c>
      <c r="E22" s="1" t="s">
        <v>139</v>
      </c>
      <c r="F22" s="1" t="s">
        <v>140</v>
      </c>
      <c r="G22" s="1"/>
      <c r="H22" s="1"/>
      <c r="I22" s="1"/>
      <c r="J22" s="1"/>
    </row>
    <row r="23" spans="1:10">
      <c r="A23" s="1" t="s">
        <v>141</v>
      </c>
      <c r="B23" s="1" t="s">
        <v>142</v>
      </c>
      <c r="C23" s="1" t="s">
        <v>64</v>
      </c>
      <c r="D23" s="1" t="s">
        <v>143</v>
      </c>
      <c r="E23" s="1" t="s">
        <v>144</v>
      </c>
      <c r="F23" s="1" t="s">
        <v>145</v>
      </c>
      <c r="G23" s="1"/>
      <c r="H23" s="1"/>
      <c r="I23" s="1"/>
      <c r="J23" s="1"/>
    </row>
    <row r="24" spans="1:10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F24" s="1" t="s">
        <v>151</v>
      </c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4">
    <mergeCell ref="A1:F1"/>
    <mergeCell ref="A3:C3"/>
    <mergeCell ref="A14:C14"/>
    <mergeCell ref="A20:F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7"/>
  <sheetViews>
    <sheetView tabSelected="1" workbookViewId="0">
      <pane ySplit="3" topLeftCell="A39" activePane="bottomLeft" state="frozen"/>
      <selection pane="bottomLeft" activeCell="C61" sqref="C61"/>
    </sheetView>
  </sheetViews>
  <sheetFormatPr baseColWidth="10" defaultColWidth="8.83203125" defaultRowHeight="15"/>
  <cols>
    <col min="1" max="1" width="18" customWidth="1"/>
    <col min="2" max="10" width="14" customWidth="1"/>
  </cols>
  <sheetData>
    <row r="1" spans="1:10" ht="23">
      <c r="A1" s="33" t="s">
        <v>152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34" t="s">
        <v>153</v>
      </c>
      <c r="B2" s="22"/>
      <c r="C2" s="22"/>
      <c r="D2" s="22"/>
      <c r="E2" s="22"/>
      <c r="F2" s="22"/>
      <c r="G2" s="22"/>
      <c r="H2" s="22"/>
      <c r="I2" s="22"/>
      <c r="J2" s="22"/>
    </row>
    <row r="3" spans="1:10">
      <c r="A3" s="28" t="s">
        <v>154</v>
      </c>
      <c r="B3" s="22"/>
      <c r="C3" s="28" t="s">
        <v>155</v>
      </c>
      <c r="D3" s="22"/>
      <c r="E3" s="28" t="s">
        <v>156</v>
      </c>
      <c r="F3" s="22"/>
      <c r="G3" s="28" t="s">
        <v>157</v>
      </c>
      <c r="H3" s="22"/>
      <c r="I3" s="1"/>
      <c r="J3" s="1"/>
    </row>
    <row r="4" spans="1:10">
      <c r="A4" s="31">
        <f>Hypothèses!D20</f>
        <v>7500</v>
      </c>
      <c r="B4" s="22"/>
      <c r="C4" s="35">
        <f>'ROI Client'!C11</f>
        <v>3.1512605042016806</v>
      </c>
      <c r="D4" s="22"/>
      <c r="E4" s="31">
        <f>SUM(Hypothèses!C31:I31)</f>
        <v>4500000</v>
      </c>
      <c r="F4" s="22"/>
      <c r="G4" s="27" t="str">
        <f>"2030"</f>
        <v>2030</v>
      </c>
      <c r="H4" s="22"/>
      <c r="I4" s="1"/>
      <c r="J4" s="1"/>
    </row>
    <row r="5" spans="1:10">
      <c r="A5" s="22"/>
      <c r="B5" s="22"/>
      <c r="C5" s="22"/>
      <c r="D5" s="22"/>
      <c r="E5" s="22"/>
      <c r="F5" s="22"/>
      <c r="G5" s="22"/>
      <c r="H5" s="22"/>
      <c r="I5" s="1"/>
      <c r="J5" s="1"/>
    </row>
    <row r="6" spans="1:10">
      <c r="A6" s="22"/>
      <c r="B6" s="22"/>
      <c r="C6" s="22"/>
      <c r="D6" s="22"/>
      <c r="E6" s="22"/>
      <c r="F6" s="22"/>
      <c r="G6" s="22"/>
      <c r="H6" s="22"/>
      <c r="I6" s="1"/>
      <c r="J6" s="1"/>
    </row>
    <row r="7" spans="1:10">
      <c r="A7" s="28" t="s">
        <v>158</v>
      </c>
      <c r="B7" s="22"/>
      <c r="C7" s="28" t="s">
        <v>159</v>
      </c>
      <c r="D7" s="22"/>
      <c r="E7" s="28" t="s">
        <v>160</v>
      </c>
      <c r="F7" s="22"/>
      <c r="G7" s="28" t="s">
        <v>166</v>
      </c>
      <c r="H7" s="22"/>
      <c r="I7" s="1"/>
      <c r="J7" s="1"/>
    </row>
    <row r="8" spans="1:10">
      <c r="A8" s="31">
        <f>'P&amp;L'!I5*1000</f>
        <v>38634793.019962244</v>
      </c>
      <c r="B8" s="22"/>
      <c r="C8" s="31">
        <f>'P&amp;L'!I14*1000</f>
        <v>11461574.066967906</v>
      </c>
      <c r="D8" s="22"/>
      <c r="E8" s="32">
        <f>'P&amp;L'!I15</f>
        <v>0.29666456504751604</v>
      </c>
      <c r="F8" s="22"/>
      <c r="G8" s="27" t="str">
        <f>"2031"</f>
        <v>2031</v>
      </c>
      <c r="H8" s="22"/>
      <c r="I8" s="1"/>
      <c r="J8" s="1"/>
    </row>
    <row r="9" spans="1:10">
      <c r="A9" s="22"/>
      <c r="B9" s="22"/>
      <c r="C9" s="22"/>
      <c r="D9" s="22"/>
      <c r="E9" s="22"/>
      <c r="F9" s="22"/>
      <c r="G9" s="22"/>
      <c r="H9" s="22"/>
      <c r="I9" s="1"/>
      <c r="J9" s="1"/>
    </row>
    <row r="10" spans="1:10">
      <c r="A10" s="22"/>
      <c r="B10" s="22"/>
      <c r="C10" s="22"/>
      <c r="D10" s="22"/>
      <c r="E10" s="22"/>
      <c r="F10" s="22"/>
      <c r="G10" s="22"/>
      <c r="H10" s="22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6">
      <c r="A13" s="24" t="s">
        <v>161</v>
      </c>
      <c r="B13" s="22"/>
      <c r="C13" s="22"/>
      <c r="D13" s="22"/>
      <c r="E13" s="22"/>
      <c r="F13" s="22"/>
      <c r="G13" s="22"/>
      <c r="H13" s="22"/>
      <c r="I13" s="1"/>
      <c r="J13" s="1"/>
    </row>
    <row r="14" spans="1:10">
      <c r="A14" s="2" t="s">
        <v>69</v>
      </c>
      <c r="B14" s="2">
        <v>2027</v>
      </c>
      <c r="C14" s="2">
        <v>2028</v>
      </c>
      <c r="D14" s="2">
        <v>2029</v>
      </c>
      <c r="E14" s="2">
        <v>2030</v>
      </c>
      <c r="F14" s="2">
        <v>2031</v>
      </c>
      <c r="G14" s="2">
        <v>2032</v>
      </c>
      <c r="H14" s="2">
        <v>2033</v>
      </c>
      <c r="I14" s="1"/>
      <c r="J14" s="1"/>
    </row>
    <row r="15" spans="1:10">
      <c r="A15" s="1" t="s">
        <v>162</v>
      </c>
      <c r="B15" s="20">
        <f>'P&amp;L'!C5/1000</f>
        <v>9.7500000000000003E-2</v>
      </c>
      <c r="C15" s="20">
        <f>'P&amp;L'!D5/1000</f>
        <v>0.94345950000000001</v>
      </c>
      <c r="D15" s="20">
        <f>'P&amp;L'!E5/1000</f>
        <v>3.5100871120000003</v>
      </c>
      <c r="E15" s="20">
        <f>'P&amp;L'!F5/1000</f>
        <v>8.5076469348812491</v>
      </c>
      <c r="F15" s="20">
        <f>'P&amp;L'!G5/1000</f>
        <v>16.934777241612398</v>
      </c>
      <c r="G15" s="20">
        <f>'P&amp;L'!H5/1000</f>
        <v>26.930224030487043</v>
      </c>
      <c r="H15" s="20">
        <f>'P&amp;L'!I5/1000</f>
        <v>38.634793019962245</v>
      </c>
      <c r="I15" s="1"/>
      <c r="J15" s="1"/>
    </row>
    <row r="16" spans="1:10">
      <c r="A16" s="1" t="s">
        <v>163</v>
      </c>
      <c r="B16" s="20">
        <f>'P&amp;L'!C14/1000</f>
        <v>-0.91500000000000004</v>
      </c>
      <c r="C16" s="20">
        <f>'P&amp;L'!D14/1000</f>
        <v>-1.0240594249999999</v>
      </c>
      <c r="D16" s="20">
        <f>'P&amp;L'!E14/1000</f>
        <v>-0.67192595479999995</v>
      </c>
      <c r="E16" s="20">
        <f>'P&amp;L'!F14/1000</f>
        <v>0.51799989464906226</v>
      </c>
      <c r="F16" s="20">
        <f>'P&amp;L'!G14/1000</f>
        <v>3.3255606553705386</v>
      </c>
      <c r="G16" s="20">
        <f>'P&amp;L'!H14/1000</f>
        <v>6.8101904259139863</v>
      </c>
      <c r="H16" s="20">
        <f>'P&amp;L'!I14/1000</f>
        <v>11.461574066967907</v>
      </c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6">
      <c r="A36" s="24" t="s">
        <v>164</v>
      </c>
      <c r="B36" s="22"/>
      <c r="C36" s="22"/>
      <c r="D36" s="22"/>
      <c r="E36" s="22"/>
      <c r="F36" s="22"/>
      <c r="G36" s="22"/>
      <c r="H36" s="22"/>
      <c r="I36" s="1"/>
      <c r="J36" s="1"/>
    </row>
    <row r="37" spans="1:10">
      <c r="A37" s="29" t="s">
        <v>165</v>
      </c>
      <c r="B37" s="30"/>
      <c r="C37" s="30"/>
      <c r="D37" s="30"/>
      <c r="E37" s="30"/>
      <c r="F37" s="30"/>
      <c r="G37" s="30"/>
      <c r="H37" s="30"/>
      <c r="I37" s="1"/>
      <c r="J37" s="1"/>
    </row>
    <row r="38" spans="1:10">
      <c r="A38" s="30"/>
      <c r="B38" s="30"/>
      <c r="C38" s="30"/>
      <c r="D38" s="30"/>
      <c r="E38" s="30"/>
      <c r="F38" s="30"/>
      <c r="G38" s="30"/>
      <c r="H38" s="30"/>
      <c r="I38" s="1"/>
      <c r="J38" s="1"/>
    </row>
    <row r="39" spans="1:10">
      <c r="A39" s="30"/>
      <c r="B39" s="30"/>
      <c r="C39" s="30"/>
      <c r="D39" s="30"/>
      <c r="E39" s="30"/>
      <c r="F39" s="30"/>
      <c r="G39" s="30"/>
      <c r="H39" s="30"/>
      <c r="I39" s="1"/>
      <c r="J39" s="1"/>
    </row>
    <row r="40" spans="1:10">
      <c r="A40" s="30"/>
      <c r="B40" s="30"/>
      <c r="C40" s="30"/>
      <c r="D40" s="30"/>
      <c r="E40" s="30"/>
      <c r="F40" s="30"/>
      <c r="G40" s="30"/>
      <c r="H40" s="30"/>
      <c r="I40" s="1"/>
      <c r="J40" s="1"/>
    </row>
    <row r="41" spans="1:10">
      <c r="A41" s="30"/>
      <c r="B41" s="30"/>
      <c r="C41" s="30"/>
      <c r="D41" s="30"/>
      <c r="E41" s="30"/>
      <c r="F41" s="30"/>
      <c r="G41" s="30"/>
      <c r="H41" s="30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t="s">
        <v>167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t="s">
        <v>168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t="s">
        <v>169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36" t="s">
        <v>170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t="s">
        <v>171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36" t="s">
        <v>172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t="s">
        <v>173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t="s">
        <v>174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t="s">
        <v>175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t="s">
        <v>176</v>
      </c>
    </row>
    <row r="63" spans="1:10">
      <c r="A63" t="s">
        <v>177</v>
      </c>
    </row>
    <row r="65" spans="1:1">
      <c r="A65" s="36" t="s">
        <v>178</v>
      </c>
    </row>
    <row r="67" spans="1:1">
      <c r="A67" t="s">
        <v>179</v>
      </c>
    </row>
  </sheetData>
  <mergeCells count="21">
    <mergeCell ref="A1:J1"/>
    <mergeCell ref="A2:J2"/>
    <mergeCell ref="A4:B6"/>
    <mergeCell ref="A3:B3"/>
    <mergeCell ref="C4:D6"/>
    <mergeCell ref="C3:D3"/>
    <mergeCell ref="E4:F6"/>
    <mergeCell ref="E3:F3"/>
    <mergeCell ref="G4:H6"/>
    <mergeCell ref="G3:H3"/>
    <mergeCell ref="G8:H10"/>
    <mergeCell ref="G7:H7"/>
    <mergeCell ref="A13:H13"/>
    <mergeCell ref="A36:H36"/>
    <mergeCell ref="A37:H41"/>
    <mergeCell ref="A8:B10"/>
    <mergeCell ref="A7:B7"/>
    <mergeCell ref="C8:D10"/>
    <mergeCell ref="C7:D7"/>
    <mergeCell ref="E8:F10"/>
    <mergeCell ref="E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Hypothèses</vt:lpstr>
      <vt:lpstr>Ventes &amp; Marge</vt:lpstr>
      <vt:lpstr>P&amp;L</vt:lpstr>
      <vt:lpstr>Cash Flow</vt:lpstr>
      <vt:lpstr>ROI Client</vt:lpstr>
      <vt:lpstr>Dashboard Jury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levonlara</cp:lastModifiedBy>
  <dcterms:modified xsi:type="dcterms:W3CDTF">2026-10-28T18:09:55Z</dcterms:modified>
</cp:coreProperties>
</file>