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levonlara/Downloads/"/>
    </mc:Choice>
  </mc:AlternateContent>
  <xr:revisionPtr revIDLastSave="0" documentId="13_ncr:1_{4E839723-3A6A-3D4A-BE66-4E51B4BECEE6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Hypothèses" sheetId="1" r:id="rId1"/>
    <sheet name="Ventes" sheetId="2" r:id="rId2"/>
    <sheet name="Unit Economics" sheetId="3" r:id="rId3"/>
    <sheet name="P&amp;L" sheetId="4" r:id="rId4"/>
    <sheet name="Cash Flow" sheetId="5" r:id="rId5"/>
    <sheet name="Financement" sheetId="6" r:id="rId6"/>
    <sheet name="Scénarios" sheetId="7" r:id="rId7"/>
    <sheet name="Sensibilité" sheetId="8" r:id="rId8"/>
    <sheet name="Sources" sheetId="9" r:id="rId9"/>
    <sheet name="Dashboard" sheetId="10" r:id="rId10"/>
    <sheet name="Marché mondial" sheetId="11" r:id="rId11"/>
    <sheet name="GTM International" sheetId="12" r:id="rId12"/>
    <sheet name="SWOT PESTEL" sheetId="13" r:id="rId13"/>
    <sheet name="Plan d'actio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1" l="1"/>
  <c r="B9" i="11"/>
  <c r="I58" i="7"/>
  <c r="H58" i="7"/>
  <c r="G58" i="7"/>
  <c r="F58" i="7"/>
  <c r="E58" i="7"/>
  <c r="D58" i="7"/>
  <c r="C58" i="7"/>
  <c r="I40" i="7"/>
  <c r="H40" i="7"/>
  <c r="G40" i="7"/>
  <c r="F40" i="7"/>
  <c r="E40" i="7"/>
  <c r="D40" i="7"/>
  <c r="C40" i="7"/>
  <c r="I22" i="7"/>
  <c r="H22" i="7"/>
  <c r="G22" i="7"/>
  <c r="F22" i="7"/>
  <c r="E22" i="7"/>
  <c r="D22" i="7"/>
  <c r="C22" i="7"/>
  <c r="I13" i="6"/>
  <c r="H13" i="6"/>
  <c r="G13" i="6"/>
  <c r="F13" i="6"/>
  <c r="E13" i="6"/>
  <c r="D13" i="6"/>
  <c r="C13" i="6"/>
  <c r="C6" i="6"/>
  <c r="I14" i="5"/>
  <c r="H14" i="5"/>
  <c r="G14" i="5"/>
  <c r="F14" i="5"/>
  <c r="E14" i="5"/>
  <c r="D14" i="5"/>
  <c r="C14" i="5"/>
  <c r="C13" i="5"/>
  <c r="I6" i="5"/>
  <c r="H6" i="5"/>
  <c r="G6" i="5"/>
  <c r="F6" i="5"/>
  <c r="E6" i="5"/>
  <c r="D6" i="5"/>
  <c r="C6" i="5"/>
  <c r="C25" i="4"/>
  <c r="I23" i="4"/>
  <c r="H23" i="4"/>
  <c r="G23" i="4"/>
  <c r="F23" i="4"/>
  <c r="E23" i="4"/>
  <c r="D23" i="4"/>
  <c r="C23" i="4"/>
  <c r="I21" i="4"/>
  <c r="H21" i="4"/>
  <c r="G21" i="4"/>
  <c r="F21" i="4"/>
  <c r="E21" i="4"/>
  <c r="D21" i="4"/>
  <c r="C21" i="4"/>
  <c r="H18" i="4"/>
  <c r="I17" i="4"/>
  <c r="H17" i="4"/>
  <c r="G17" i="4"/>
  <c r="F17" i="4"/>
  <c r="E17" i="4"/>
  <c r="D17" i="4"/>
  <c r="C17" i="4"/>
  <c r="I16" i="4"/>
  <c r="H16" i="4"/>
  <c r="G16" i="4"/>
  <c r="F16" i="4"/>
  <c r="E16" i="4"/>
  <c r="D16" i="4"/>
  <c r="C16" i="4"/>
  <c r="I15" i="4"/>
  <c r="H15" i="4"/>
  <c r="G15" i="4"/>
  <c r="F15" i="4"/>
  <c r="E15" i="4"/>
  <c r="D15" i="4"/>
  <c r="C15" i="4"/>
  <c r="I14" i="4"/>
  <c r="I18" i="4" s="1"/>
  <c r="H14" i="4"/>
  <c r="G14" i="4"/>
  <c r="F14" i="4"/>
  <c r="F18" i="4" s="1"/>
  <c r="E14" i="4"/>
  <c r="E18" i="4" s="1"/>
  <c r="D14" i="4"/>
  <c r="D18" i="4" s="1"/>
  <c r="C14" i="4"/>
  <c r="C30" i="3"/>
  <c r="C23" i="3"/>
  <c r="C24" i="3" s="1"/>
  <c r="C22" i="3"/>
  <c r="C21" i="3"/>
  <c r="C19" i="3"/>
  <c r="C20" i="3" s="1"/>
  <c r="C25" i="3" s="1"/>
  <c r="C18" i="3"/>
  <c r="C12" i="3"/>
  <c r="D10" i="10" s="1"/>
  <c r="C9" i="3"/>
  <c r="C8" i="3"/>
  <c r="C10" i="3" s="1"/>
  <c r="C13" i="3" s="1"/>
  <c r="C14" i="3" s="1"/>
  <c r="C7" i="3"/>
  <c r="C6" i="3"/>
  <c r="C5" i="3"/>
  <c r="I17" i="2"/>
  <c r="I6" i="4" s="1"/>
  <c r="I10" i="4" s="1"/>
  <c r="H17" i="2"/>
  <c r="H6" i="4" s="1"/>
  <c r="H10" i="4" s="1"/>
  <c r="G17" i="2"/>
  <c r="G6" i="4" s="1"/>
  <c r="G10" i="4" s="1"/>
  <c r="F17" i="2"/>
  <c r="F6" i="4" s="1"/>
  <c r="F10" i="4" s="1"/>
  <c r="E17" i="2"/>
  <c r="E6" i="4" s="1"/>
  <c r="E10" i="4" s="1"/>
  <c r="D17" i="2"/>
  <c r="D6" i="4" s="1"/>
  <c r="D10" i="4" s="1"/>
  <c r="C17" i="2"/>
  <c r="C6" i="4" s="1"/>
  <c r="C10" i="4" s="1"/>
  <c r="I15" i="2"/>
  <c r="H15" i="2"/>
  <c r="G15" i="2"/>
  <c r="F15" i="2"/>
  <c r="E15" i="2"/>
  <c r="D15" i="2"/>
  <c r="C15" i="2"/>
  <c r="I14" i="2"/>
  <c r="H14" i="2"/>
  <c r="G14" i="2"/>
  <c r="F14" i="2"/>
  <c r="E14" i="2"/>
  <c r="D14" i="2"/>
  <c r="C14" i="2"/>
  <c r="C10" i="2"/>
  <c r="I8" i="2"/>
  <c r="H8" i="2"/>
  <c r="G8" i="2"/>
  <c r="F8" i="2"/>
  <c r="E8" i="2"/>
  <c r="D8" i="2"/>
  <c r="C8" i="2"/>
  <c r="H7" i="2"/>
  <c r="I6" i="2"/>
  <c r="H6" i="2"/>
  <c r="G6" i="2"/>
  <c r="G7" i="2" s="1"/>
  <c r="F6" i="2"/>
  <c r="E6" i="2"/>
  <c r="D6" i="2"/>
  <c r="C6" i="2"/>
  <c r="C7" i="2" s="1"/>
  <c r="I5" i="2"/>
  <c r="H5" i="2"/>
  <c r="G5" i="2"/>
  <c r="F5" i="2"/>
  <c r="F7" i="2" s="1"/>
  <c r="E5" i="2"/>
  <c r="D5" i="2"/>
  <c r="D7" i="2" s="1"/>
  <c r="C5" i="2"/>
  <c r="F29" i="12" l="1"/>
  <c r="Q26" i="12" s="1"/>
  <c r="F25" i="12"/>
  <c r="M26" i="12" s="1"/>
  <c r="F16" i="10"/>
  <c r="B9" i="8"/>
  <c r="B5" i="8"/>
  <c r="F26" i="12"/>
  <c r="N26" i="12" s="1"/>
  <c r="B6" i="8"/>
  <c r="F14" i="7"/>
  <c r="F27" i="12"/>
  <c r="O26" i="12" s="1"/>
  <c r="B7" i="8"/>
  <c r="F50" i="7"/>
  <c r="F32" i="7"/>
  <c r="F28" i="12"/>
  <c r="P26" i="12" s="1"/>
  <c r="F24" i="12"/>
  <c r="B8" i="8"/>
  <c r="C33" i="3"/>
  <c r="F8" i="4"/>
  <c r="F9" i="2"/>
  <c r="F53" i="7"/>
  <c r="F17" i="7"/>
  <c r="F35" i="7"/>
  <c r="C29" i="3"/>
  <c r="D32" i="7"/>
  <c r="D28" i="12"/>
  <c r="P24" i="12" s="1"/>
  <c r="D24" i="12"/>
  <c r="D50" i="7"/>
  <c r="D25" i="12"/>
  <c r="M24" i="12" s="1"/>
  <c r="D16" i="10"/>
  <c r="D29" i="12"/>
  <c r="Q24" i="12" s="1"/>
  <c r="D26" i="12"/>
  <c r="N24" i="12" s="1"/>
  <c r="D27" i="12"/>
  <c r="O24" i="12" s="1"/>
  <c r="D14" i="7"/>
  <c r="D8" i="4"/>
  <c r="D9" i="2"/>
  <c r="D53" i="7"/>
  <c r="D35" i="7"/>
  <c r="D17" i="7"/>
  <c r="H32" i="7"/>
  <c r="H26" i="12"/>
  <c r="N28" i="12" s="1"/>
  <c r="H29" i="12"/>
  <c r="Q28" i="12" s="1"/>
  <c r="H27" i="12"/>
  <c r="O28" i="12" s="1"/>
  <c r="H50" i="7"/>
  <c r="H28" i="12"/>
  <c r="P28" i="12" s="1"/>
  <c r="H24" i="12"/>
  <c r="H25" i="12"/>
  <c r="M28" i="12" s="1"/>
  <c r="H16" i="10"/>
  <c r="H14" i="7"/>
  <c r="E17" i="7"/>
  <c r="E53" i="7"/>
  <c r="E35" i="7"/>
  <c r="I53" i="7"/>
  <c r="I35" i="7"/>
  <c r="I17" i="7"/>
  <c r="H53" i="7"/>
  <c r="H35" i="7"/>
  <c r="H17" i="7"/>
  <c r="E7" i="2"/>
  <c r="I7" i="2"/>
  <c r="H9" i="2"/>
  <c r="C11" i="3"/>
  <c r="G7" i="10" s="1"/>
  <c r="C18" i="4"/>
  <c r="G18" i="4"/>
  <c r="G29" i="12"/>
  <c r="Q27" i="12" s="1"/>
  <c r="G27" i="12"/>
  <c r="O27" i="12" s="1"/>
  <c r="G25" i="12"/>
  <c r="M27" i="12" s="1"/>
  <c r="G50" i="7"/>
  <c r="G28" i="12"/>
  <c r="P27" i="12" s="1"/>
  <c r="G26" i="12"/>
  <c r="N27" i="12" s="1"/>
  <c r="G24" i="12"/>
  <c r="G16" i="10"/>
  <c r="G14" i="7"/>
  <c r="G32" i="7"/>
  <c r="G8" i="4"/>
  <c r="G9" i="2"/>
  <c r="C11" i="2"/>
  <c r="C12" i="2" s="1"/>
  <c r="H8" i="4"/>
  <c r="C29" i="12"/>
  <c r="Q23" i="12" s="1"/>
  <c r="C27" i="12"/>
  <c r="O23" i="12" s="1"/>
  <c r="C25" i="12"/>
  <c r="M23" i="12" s="1"/>
  <c r="C50" i="7"/>
  <c r="C28" i="12"/>
  <c r="P23" i="12" s="1"/>
  <c r="C26" i="12"/>
  <c r="N23" i="12" s="1"/>
  <c r="C24" i="12"/>
  <c r="C16" i="10"/>
  <c r="C32" i="7"/>
  <c r="C14" i="7"/>
  <c r="A10" i="10"/>
  <c r="C8" i="4"/>
  <c r="C9" i="2"/>
  <c r="B15" i="11"/>
  <c r="I7" i="11" s="1"/>
  <c r="I6" i="11"/>
  <c r="D10" i="2" l="1"/>
  <c r="C13" i="2"/>
  <c r="C16" i="2" s="1"/>
  <c r="C5" i="4" s="1"/>
  <c r="C9" i="4" s="1"/>
  <c r="C30" i="12"/>
  <c r="L23" i="12"/>
  <c r="R23" i="12" s="1"/>
  <c r="C34" i="7"/>
  <c r="C33" i="7"/>
  <c r="C4" i="4"/>
  <c r="C7" i="4" s="1"/>
  <c r="G4" i="4"/>
  <c r="G35" i="7"/>
  <c r="G53" i="7"/>
  <c r="G17" i="7"/>
  <c r="I28" i="12"/>
  <c r="P29" i="12" s="1"/>
  <c r="I26" i="12"/>
  <c r="N29" i="12" s="1"/>
  <c r="I24" i="12"/>
  <c r="I16" i="10"/>
  <c r="I29" i="12"/>
  <c r="Q29" i="12" s="1"/>
  <c r="I27" i="12"/>
  <c r="O29" i="12" s="1"/>
  <c r="I25" i="12"/>
  <c r="M29" i="12" s="1"/>
  <c r="I50" i="7"/>
  <c r="I32" i="7"/>
  <c r="B16" i="11"/>
  <c r="I14" i="7"/>
  <c r="I9" i="2"/>
  <c r="I8" i="4"/>
  <c r="C11" i="4"/>
  <c r="C9" i="5" s="1"/>
  <c r="C8" i="5"/>
  <c r="H8" i="5"/>
  <c r="G8" i="5"/>
  <c r="G30" i="12"/>
  <c r="L27" i="12"/>
  <c r="R27" i="12" s="1"/>
  <c r="C35" i="7"/>
  <c r="C53" i="7"/>
  <c r="C17" i="7"/>
  <c r="E28" i="12"/>
  <c r="P25" i="12" s="1"/>
  <c r="E26" i="12"/>
  <c r="N25" i="12" s="1"/>
  <c r="E24" i="12"/>
  <c r="E16" i="10"/>
  <c r="E29" i="12"/>
  <c r="Q25" i="12" s="1"/>
  <c r="E27" i="12"/>
  <c r="O25" i="12" s="1"/>
  <c r="E25" i="12"/>
  <c r="M25" i="12" s="1"/>
  <c r="E14" i="7"/>
  <c r="E50" i="7"/>
  <c r="E32" i="7"/>
  <c r="E9" i="2"/>
  <c r="E8" i="4"/>
  <c r="D4" i="4"/>
  <c r="F4" i="4"/>
  <c r="F30" i="12"/>
  <c r="L26" i="12"/>
  <c r="R26" i="12" s="1"/>
  <c r="D8" i="5"/>
  <c r="D30" i="12"/>
  <c r="L24" i="12"/>
  <c r="R24" i="12" s="1"/>
  <c r="F8" i="5"/>
  <c r="B19" i="11"/>
  <c r="H4" i="4"/>
  <c r="H30" i="12"/>
  <c r="L28" i="12"/>
  <c r="R28" i="12" s="1"/>
  <c r="I4" i="4" l="1"/>
  <c r="C36" i="7"/>
  <c r="I30" i="12"/>
  <c r="L29" i="12"/>
  <c r="R29" i="12" s="1"/>
  <c r="C38" i="7"/>
  <c r="C39" i="7" s="1"/>
  <c r="C52" i="7"/>
  <c r="C54" i="7" s="1"/>
  <c r="E4" i="4"/>
  <c r="E30" i="12"/>
  <c r="L25" i="12"/>
  <c r="R25" i="12" s="1"/>
  <c r="I8" i="5"/>
  <c r="C18" i="2"/>
  <c r="C16" i="7"/>
  <c r="C18" i="7" s="1"/>
  <c r="C14" i="10"/>
  <c r="C7" i="5"/>
  <c r="C10" i="5" s="1"/>
  <c r="C11" i="5" s="1"/>
  <c r="C12" i="4"/>
  <c r="E8" i="5"/>
  <c r="B17" i="11"/>
  <c r="G10" i="10" s="1"/>
  <c r="B18" i="11"/>
  <c r="I8" i="11"/>
  <c r="C51" i="7"/>
  <c r="C56" i="7" s="1"/>
  <c r="C57" i="7" s="1"/>
  <c r="C15" i="7"/>
  <c r="C20" i="7" s="1"/>
  <c r="C21" i="7" s="1"/>
  <c r="D12" i="2"/>
  <c r="E10" i="2" s="1"/>
  <c r="D11" i="2"/>
  <c r="C13" i="4" l="1"/>
  <c r="C19" i="4"/>
  <c r="C19" i="7"/>
  <c r="C23" i="7"/>
  <c r="C24" i="7" s="1"/>
  <c r="C37" i="7"/>
  <c r="C41" i="7"/>
  <c r="C42" i="7" s="1"/>
  <c r="D13" i="2"/>
  <c r="D16" i="2" s="1"/>
  <c r="E11" i="2"/>
  <c r="E12" i="2" s="1"/>
  <c r="C55" i="7"/>
  <c r="C59" i="7"/>
  <c r="C60" i="7" s="1"/>
  <c r="F10" i="2" l="1"/>
  <c r="E13" i="2"/>
  <c r="E16" i="2" s="1"/>
  <c r="C15" i="10"/>
  <c r="C20" i="4"/>
  <c r="C22" i="4"/>
  <c r="C24" i="4" s="1"/>
  <c r="C4" i="5"/>
  <c r="D5" i="4"/>
  <c r="D34" i="7"/>
  <c r="D36" i="7" s="1"/>
  <c r="D51" i="7"/>
  <c r="D33" i="7"/>
  <c r="D52" i="7"/>
  <c r="D54" i="7" s="1"/>
  <c r="D18" i="2"/>
  <c r="D16" i="7"/>
  <c r="D18" i="7" s="1"/>
  <c r="D15" i="7"/>
  <c r="D19" i="7" l="1"/>
  <c r="D56" i="7"/>
  <c r="D57" i="7" s="1"/>
  <c r="C27" i="4"/>
  <c r="C29" i="4"/>
  <c r="C30" i="4" s="1"/>
  <c r="C5" i="5" s="1"/>
  <c r="C26" i="4"/>
  <c r="C28" i="4" s="1"/>
  <c r="D25" i="4" s="1"/>
  <c r="D37" i="7"/>
  <c r="D59" i="7"/>
  <c r="D60" i="7" s="1"/>
  <c r="D55" i="7"/>
  <c r="D9" i="4"/>
  <c r="D11" i="4" s="1"/>
  <c r="D9" i="5" s="1"/>
  <c r="D7" i="4"/>
  <c r="E5" i="4"/>
  <c r="E16" i="7"/>
  <c r="E18" i="7" s="1"/>
  <c r="E18" i="2"/>
  <c r="E52" i="7"/>
  <c r="E54" i="7" s="1"/>
  <c r="E51" i="7"/>
  <c r="E33" i="7"/>
  <c r="E15" i="7"/>
  <c r="E20" i="7" s="1"/>
  <c r="E21" i="7" s="1"/>
  <c r="E34" i="7"/>
  <c r="E36" i="7" s="1"/>
  <c r="D20" i="7"/>
  <c r="D21" i="7" s="1"/>
  <c r="D23" i="7" s="1"/>
  <c r="D24" i="7" s="1"/>
  <c r="D38" i="7"/>
  <c r="D39" i="7" s="1"/>
  <c r="D41" i="7" s="1"/>
  <c r="D42" i="7" s="1"/>
  <c r="C12" i="5"/>
  <c r="F12" i="2"/>
  <c r="G10" i="2" s="1"/>
  <c r="F11" i="2"/>
  <c r="E55" i="7" l="1"/>
  <c r="G11" i="2"/>
  <c r="G12" i="2" s="1"/>
  <c r="D14" i="10"/>
  <c r="D7" i="5"/>
  <c r="D10" i="5" s="1"/>
  <c r="D11" i="5" s="1"/>
  <c r="D12" i="4"/>
  <c r="E38" i="7"/>
  <c r="E39" i="7" s="1"/>
  <c r="E19" i="7"/>
  <c r="E23" i="7"/>
  <c r="E24" i="7" s="1"/>
  <c r="E41" i="7"/>
  <c r="E42" i="7" s="1"/>
  <c r="E37" i="7"/>
  <c r="C16" i="5"/>
  <c r="C15" i="5"/>
  <c r="D13" i="5" s="1"/>
  <c r="F13" i="2"/>
  <c r="F16" i="2" s="1"/>
  <c r="E56" i="7"/>
  <c r="E57" i="7" s="1"/>
  <c r="E59" i="7" s="1"/>
  <c r="E60" i="7" s="1"/>
  <c r="E9" i="4"/>
  <c r="E11" i="4" s="1"/>
  <c r="E9" i="5" s="1"/>
  <c r="E7" i="4"/>
  <c r="C31" i="4"/>
  <c r="C32" i="4" s="1"/>
  <c r="H10" i="2" l="1"/>
  <c r="G13" i="2"/>
  <c r="G16" i="2" s="1"/>
  <c r="F5" i="4"/>
  <c r="F51" i="7"/>
  <c r="F18" i="2"/>
  <c r="F34" i="7"/>
  <c r="F36" i="7" s="1"/>
  <c r="F15" i="7"/>
  <c r="F52" i="7"/>
  <c r="F54" i="7" s="1"/>
  <c r="F16" i="7"/>
  <c r="F18" i="7" s="1"/>
  <c r="F33" i="7"/>
  <c r="E14" i="10"/>
  <c r="E7" i="5"/>
  <c r="E10" i="5" s="1"/>
  <c r="E11" i="5" s="1"/>
  <c r="E12" i="4"/>
  <c r="D13" i="4"/>
  <c r="D19" i="4"/>
  <c r="F38" i="7" l="1"/>
  <c r="F39" i="7" s="1"/>
  <c r="B11" i="7"/>
  <c r="E13" i="4"/>
  <c r="E19" i="4"/>
  <c r="F19" i="7"/>
  <c r="F37" i="7"/>
  <c r="F41" i="7"/>
  <c r="F42" i="7" s="1"/>
  <c r="E11" i="7"/>
  <c r="F59" i="7"/>
  <c r="F60" i="7" s="1"/>
  <c r="F55" i="7"/>
  <c r="E12" i="7"/>
  <c r="F56" i="7"/>
  <c r="F57" i="7" s="1"/>
  <c r="B12" i="7"/>
  <c r="G5" i="4"/>
  <c r="G51" i="7"/>
  <c r="G56" i="7" s="1"/>
  <c r="G57" i="7" s="1"/>
  <c r="G52" i="7"/>
  <c r="G54" i="7" s="1"/>
  <c r="G33" i="7"/>
  <c r="G15" i="7"/>
  <c r="G20" i="7" s="1"/>
  <c r="G21" i="7" s="1"/>
  <c r="G16" i="7"/>
  <c r="G18" i="7" s="1"/>
  <c r="E10" i="7" s="1"/>
  <c r="G18" i="2"/>
  <c r="G34" i="7"/>
  <c r="G36" i="7" s="1"/>
  <c r="D15" i="10"/>
  <c r="D4" i="5"/>
  <c r="D22" i="4"/>
  <c r="D24" i="4" s="1"/>
  <c r="D20" i="4"/>
  <c r="F20" i="7"/>
  <c r="F21" i="7" s="1"/>
  <c r="F23" i="7" s="1"/>
  <c r="F24" i="7" s="1"/>
  <c r="B10" i="7"/>
  <c r="C31" i="3"/>
  <c r="C32" i="3" s="1"/>
  <c r="C34" i="3" s="1"/>
  <c r="F9" i="4"/>
  <c r="F11" i="4" s="1"/>
  <c r="F9" i="5" s="1"/>
  <c r="G8" i="8"/>
  <c r="D8" i="8"/>
  <c r="D6" i="8"/>
  <c r="E7" i="8"/>
  <c r="D7" i="8"/>
  <c r="G5" i="8"/>
  <c r="E9" i="8"/>
  <c r="D9" i="8"/>
  <c r="C8" i="8"/>
  <c r="F6" i="8"/>
  <c r="G7" i="8"/>
  <c r="E8" i="8"/>
  <c r="C7" i="8"/>
  <c r="F8" i="8"/>
  <c r="E6" i="8"/>
  <c r="F7" i="8"/>
  <c r="E5" i="8"/>
  <c r="D5" i="8"/>
  <c r="F9" i="8"/>
  <c r="G6" i="8"/>
  <c r="C5" i="8"/>
  <c r="G9" i="8"/>
  <c r="C6" i="8"/>
  <c r="F5" i="8"/>
  <c r="C9" i="8"/>
  <c r="F7" i="4"/>
  <c r="H11" i="2"/>
  <c r="H12" i="2" s="1"/>
  <c r="I10" i="2" l="1"/>
  <c r="H13" i="2"/>
  <c r="H16" i="2" s="1"/>
  <c r="G37" i="7"/>
  <c r="G38" i="7"/>
  <c r="G39" i="7" s="1"/>
  <c r="G41" i="7" s="1"/>
  <c r="G42" i="7" s="1"/>
  <c r="E15" i="10"/>
  <c r="E4" i="5"/>
  <c r="E22" i="4"/>
  <c r="E24" i="4" s="1"/>
  <c r="E20" i="4"/>
  <c r="A4" i="10"/>
  <c r="F14" i="10"/>
  <c r="F7" i="5"/>
  <c r="F10" i="5" s="1"/>
  <c r="F11" i="5" s="1"/>
  <c r="F12" i="4"/>
  <c r="D26" i="4"/>
  <c r="D27" i="4"/>
  <c r="D29" i="4" s="1"/>
  <c r="D30" i="4" s="1"/>
  <c r="G59" i="7"/>
  <c r="G60" i="7" s="1"/>
  <c r="G55" i="7"/>
  <c r="G9" i="4"/>
  <c r="G11" i="4" s="1"/>
  <c r="G9" i="5" s="1"/>
  <c r="G7" i="4"/>
  <c r="G23" i="7"/>
  <c r="G24" i="7" s="1"/>
  <c r="G19" i="7"/>
  <c r="D5" i="5" l="1"/>
  <c r="D12" i="5" s="1"/>
  <c r="D31" i="4"/>
  <c r="D32" i="4" s="1"/>
  <c r="G14" i="10"/>
  <c r="G12" i="4"/>
  <c r="G7" i="5"/>
  <c r="G10" i="5" s="1"/>
  <c r="G11" i="5" s="1"/>
  <c r="F19" i="4"/>
  <c r="F13" i="4"/>
  <c r="D28" i="4"/>
  <c r="E25" i="4" s="1"/>
  <c r="E27" i="4" s="1"/>
  <c r="E29" i="4" s="1"/>
  <c r="E30" i="4" s="1"/>
  <c r="E26" i="4"/>
  <c r="H5" i="4"/>
  <c r="H52" i="7"/>
  <c r="H54" i="7" s="1"/>
  <c r="H51" i="7"/>
  <c r="H56" i="7" s="1"/>
  <c r="H57" i="7" s="1"/>
  <c r="H15" i="7"/>
  <c r="H16" i="7"/>
  <c r="H18" i="7" s="1"/>
  <c r="H18" i="2"/>
  <c r="H34" i="7"/>
  <c r="H36" i="7" s="1"/>
  <c r="H33" i="7"/>
  <c r="I11" i="2"/>
  <c r="I12" i="2"/>
  <c r="I13" i="2" s="1"/>
  <c r="I16" i="2" s="1"/>
  <c r="I5" i="4" l="1"/>
  <c r="I33" i="7"/>
  <c r="I15" i="7"/>
  <c r="I16" i="7"/>
  <c r="I18" i="7" s="1"/>
  <c r="I52" i="7"/>
  <c r="I54" i="7" s="1"/>
  <c r="I51" i="7"/>
  <c r="I34" i="7"/>
  <c r="I36" i="7" s="1"/>
  <c r="I18" i="2"/>
  <c r="E5" i="5"/>
  <c r="E12" i="5" s="1"/>
  <c r="E31" i="4"/>
  <c r="E32" i="4" s="1"/>
  <c r="H19" i="7"/>
  <c r="H9" i="4"/>
  <c r="H11" i="4" s="1"/>
  <c r="H9" i="5" s="1"/>
  <c r="H7" i="4"/>
  <c r="F15" i="10"/>
  <c r="F22" i="4"/>
  <c r="F24" i="4" s="1"/>
  <c r="F4" i="5"/>
  <c r="F20" i="4"/>
  <c r="C8" i="6"/>
  <c r="G4" i="10" s="1"/>
  <c r="H37" i="7"/>
  <c r="E28" i="4"/>
  <c r="F25" i="4" s="1"/>
  <c r="H38" i="7"/>
  <c r="H39" i="7" s="1"/>
  <c r="H41" i="7" s="1"/>
  <c r="H42" i="7" s="1"/>
  <c r="H20" i="7"/>
  <c r="H21" i="7" s="1"/>
  <c r="H23" i="7" s="1"/>
  <c r="H24" i="7" s="1"/>
  <c r="G19" i="4"/>
  <c r="G13" i="4"/>
  <c r="H59" i="7"/>
  <c r="H60" i="7" s="1"/>
  <c r="H55" i="7"/>
  <c r="D15" i="5"/>
  <c r="E13" i="5" s="1"/>
  <c r="E15" i="5" s="1"/>
  <c r="F13" i="5" s="1"/>
  <c r="D16" i="5"/>
  <c r="I37" i="7" l="1"/>
  <c r="D11" i="7" s="1"/>
  <c r="F26" i="4"/>
  <c r="F28" i="4" s="1"/>
  <c r="G25" i="4" s="1"/>
  <c r="F27" i="4"/>
  <c r="F29" i="4" s="1"/>
  <c r="F30" i="4" s="1"/>
  <c r="I19" i="7"/>
  <c r="D10" i="7" s="1"/>
  <c r="I38" i="7"/>
  <c r="I39" i="7" s="1"/>
  <c r="I41" i="7" s="1"/>
  <c r="I42" i="7" s="1"/>
  <c r="F11" i="7" s="1"/>
  <c r="C11" i="7"/>
  <c r="E16" i="5"/>
  <c r="I20" i="7"/>
  <c r="I21" i="7" s="1"/>
  <c r="I23" i="7" s="1"/>
  <c r="I24" i="7" s="1"/>
  <c r="F10" i="7" s="1"/>
  <c r="C10" i="7"/>
  <c r="H7" i="5"/>
  <c r="H10" i="5" s="1"/>
  <c r="H11" i="5" s="1"/>
  <c r="H14" i="10"/>
  <c r="H12" i="4"/>
  <c r="I56" i="7"/>
  <c r="I57" i="7" s="1"/>
  <c r="C12" i="7"/>
  <c r="G15" i="10"/>
  <c r="G20" i="4"/>
  <c r="G4" i="5"/>
  <c r="G22" i="4"/>
  <c r="G24" i="4" s="1"/>
  <c r="I59" i="7"/>
  <c r="I60" i="7" s="1"/>
  <c r="F12" i="7" s="1"/>
  <c r="I55" i="7"/>
  <c r="D12" i="7" s="1"/>
  <c r="I9" i="4"/>
  <c r="I11" i="4" s="1"/>
  <c r="I9" i="5" s="1"/>
  <c r="I7" i="4"/>
  <c r="F5" i="5" l="1"/>
  <c r="F12" i="5" s="1"/>
  <c r="F31" i="4"/>
  <c r="F32" i="4" s="1"/>
  <c r="G12" i="5"/>
  <c r="G27" i="4"/>
  <c r="G29" i="4"/>
  <c r="G30" i="4" s="1"/>
  <c r="G5" i="5" s="1"/>
  <c r="G26" i="4"/>
  <c r="G28" i="4" s="1"/>
  <c r="H25" i="4" s="1"/>
  <c r="H13" i="4"/>
  <c r="H19" i="4"/>
  <c r="F16" i="5"/>
  <c r="D4" i="10"/>
  <c r="I14" i="10"/>
  <c r="I7" i="5"/>
  <c r="I10" i="5" s="1"/>
  <c r="I11" i="5" s="1"/>
  <c r="I12" i="4"/>
  <c r="I13" i="4" l="1"/>
  <c r="I19" i="4"/>
  <c r="G16" i="5"/>
  <c r="H15" i="10"/>
  <c r="H4" i="5"/>
  <c r="H22" i="4"/>
  <c r="H24" i="4" s="1"/>
  <c r="H20" i="4"/>
  <c r="G31" i="4"/>
  <c r="G32" i="4" s="1"/>
  <c r="C9" i="6"/>
  <c r="F15" i="5"/>
  <c r="G13" i="5" s="1"/>
  <c r="G15" i="5" s="1"/>
  <c r="H13" i="5" s="1"/>
  <c r="H27" i="4" l="1"/>
  <c r="H29" i="4" s="1"/>
  <c r="H30" i="4" s="1"/>
  <c r="H26" i="4"/>
  <c r="H28" i="4" s="1"/>
  <c r="I25" i="4" s="1"/>
  <c r="I4" i="5"/>
  <c r="I15" i="10"/>
  <c r="I20" i="4"/>
  <c r="A7" i="10" s="1"/>
  <c r="I22" i="4"/>
  <c r="I24" i="4" s="1"/>
  <c r="H5" i="5" l="1"/>
  <c r="H12" i="5" s="1"/>
  <c r="H31" i="4"/>
  <c r="H32" i="4" s="1"/>
  <c r="I26" i="4"/>
  <c r="I28" i="4" s="1"/>
  <c r="I27" i="4"/>
  <c r="I29" i="4" s="1"/>
  <c r="I30" i="4" s="1"/>
  <c r="I5" i="5" l="1"/>
  <c r="I12" i="5" s="1"/>
  <c r="I31" i="4"/>
  <c r="I32" i="4" s="1"/>
  <c r="H16" i="5"/>
  <c r="H15" i="5"/>
  <c r="I13" i="5" s="1"/>
  <c r="I15" i="5" s="1"/>
  <c r="I16" i="5" l="1"/>
  <c r="C5" i="6" s="1"/>
  <c r="D7" i="10" l="1"/>
  <c r="C7" i="6"/>
</calcChain>
</file>

<file path=xl/sharedStrings.xml><?xml version="1.0" encoding="utf-8"?>
<sst xmlns="http://schemas.openxmlformats.org/spreadsheetml/2006/main" count="1069" uniqueCount="535">
  <si>
    <t>SOLAR WRAP — Hypothèses du modèle</t>
  </si>
  <si>
    <t>Prévisionnel 2027–2033 | cellules bleues = hypothèses modifiables | jaune = hypothèses critiques à valider</t>
  </si>
  <si>
    <t>A. Hypothèses générales</t>
  </si>
  <si>
    <t>Hypothèse</t>
  </si>
  <si>
    <t>Valeur</t>
  </si>
  <si>
    <t>Unité</t>
  </si>
  <si>
    <t>Nature</t>
  </si>
  <si>
    <t>Source / justification</t>
  </si>
  <si>
    <t>Taux d'IS</t>
  </si>
  <si>
    <t>%</t>
  </si>
  <si>
    <t>Source externe</t>
  </si>
  <si>
    <t>https://entreprendre.service-public.gouv.fr/vosdroits/F23575</t>
  </si>
  <si>
    <t>DSO clients</t>
  </si>
  <si>
    <t>jours</t>
  </si>
  <si>
    <t>Hypothèse management</t>
  </si>
  <si>
    <t>À valider avec contrats flotte</t>
  </si>
  <si>
    <t>Stock moyen</t>
  </si>
  <si>
    <t>jours de COGS hardware</t>
  </si>
  <si>
    <t>Externalisation industrielle visée</t>
  </si>
  <si>
    <t>DPO fournisseurs</t>
  </si>
  <si>
    <t>À négocier</t>
  </si>
  <si>
    <t>Attrition parc installé</t>
  </si>
  <si>
    <t>% / an</t>
  </si>
  <si>
    <t>Proxy remplacement/fin de vie</t>
  </si>
  <si>
    <t>Marge brute services</t>
  </si>
  <si>
    <t>Ingénierie, intégration, certification</t>
  </si>
  <si>
    <t>Marge brute SaaS</t>
  </si>
  <si>
    <t>SOLAR CONTROL</t>
  </si>
  <si>
    <t>Trésorerie initiale</t>
  </si>
  <si>
    <t>€</t>
  </si>
  <si>
    <t>Capital de départ du modèle</t>
  </si>
  <si>
    <t>Durée amortissement CAPEX</t>
  </si>
  <si>
    <t>années</t>
  </si>
  <si>
    <t>Hypothèse modèle</t>
  </si>
  <si>
    <t>Amortissement linéaire simplifié</t>
  </si>
  <si>
    <t>B. Économie client — cas de référence camion / remorque frigorifique</t>
  </si>
  <si>
    <t>Économie de gazole</t>
  </si>
  <si>
    <t>L/an</t>
  </si>
  <si>
    <t>Fraunhofer ISE: 1 500–2 100 L/an sur camion 40 t (référence historique)</t>
  </si>
  <si>
    <t>Valeur économique du gazole</t>
  </si>
  <si>
    <t>€/L</t>
  </si>
  <si>
    <t>Hypothèse prudente normalisée</t>
  </si>
  <si>
    <t>Volatilité élevée; inférieur aux prix pompe observés fin oct. 2026</t>
  </si>
  <si>
    <t>Autres économies</t>
  </si>
  <si>
    <t>€/an</t>
  </si>
  <si>
    <t>Batterie auxiliaire / maintenance / disponibilité</t>
  </si>
  <si>
    <t>Facteur émission gazole B7</t>
  </si>
  <si>
    <t>kgCO2e/L</t>
  </si>
  <si>
    <t>ADEME / Base Empreinte, ordre de grandeur total amont + combustion</t>
  </si>
  <si>
    <t>Payback client cible</t>
  </si>
  <si>
    <t>Objectif management</t>
  </si>
  <si>
    <t>Doit rester &lt;5 ans</t>
  </si>
  <si>
    <t>C. Hypothèses annuelles — scénario central</t>
  </si>
  <si>
    <t>Comptes flotte actifs</t>
  </si>
  <si>
    <t>clients</t>
  </si>
  <si>
    <t>Déploiement annuel moyen / compte</t>
  </si>
  <si>
    <t>véhicules</t>
  </si>
  <si>
    <t>Prix moyen kit + installation</t>
  </si>
  <si>
    <t>€/véhicule</t>
  </si>
  <si>
    <t>COGS hardware / véhicule</t>
  </si>
  <si>
    <t>Taux d'attachement SOLAR CONTROL</t>
  </si>
  <si>
    <t>Abonnement SOLAR CONTROL</t>
  </si>
  <si>
    <t>€/véhicule/an</t>
  </si>
  <si>
    <t>Revenus services / ingénierie</t>
  </si>
  <si>
    <t>Effectif moyen</t>
  </si>
  <si>
    <t>ETP</t>
  </si>
  <si>
    <t>Coût chargé moyen / ETP</t>
  </si>
  <si>
    <t>€/ETP/an</t>
  </si>
  <si>
    <t>R&amp;D hors masse salariale</t>
  </si>
  <si>
    <t>Sales, Marketing &amp; expansion internationale</t>
  </si>
  <si>
    <t>G&amp;A</t>
  </si>
  <si>
    <t>CAPEX</t>
  </si>
  <si>
    <t>Financement externe prévu</t>
  </si>
  <si>
    <t>SOLAR WRAP — Construction du chiffre d'affaires</t>
  </si>
  <si>
    <t>Volumes = comptes flotte × déploiement annuel moyen | SaaS calculé sur parc actif moyen</t>
  </si>
  <si>
    <t>Prévision commerciale</t>
  </si>
  <si>
    <t>Indicateur</t>
  </si>
  <si>
    <t>Unités vendues</t>
  </si>
  <si>
    <t>Prix moyen hardware</t>
  </si>
  <si>
    <t>CA hardware</t>
  </si>
  <si>
    <t>Parc actif début</t>
  </si>
  <si>
    <t>Sorties / attrition</t>
  </si>
  <si>
    <t>Parc actif fin</t>
  </si>
  <si>
    <t>Parc actif moyen</t>
  </si>
  <si>
    <t>Taux attachement SaaS</t>
  </si>
  <si>
    <t>Fee SaaS annuel</t>
  </si>
  <si>
    <t>CA SOLAR CONTROL</t>
  </si>
  <si>
    <t>CA services / intégration</t>
  </si>
  <si>
    <t>CHIFFRE D'AFFAIRES TOTAL</t>
  </si>
  <si>
    <t>SOLAR WRAP — Unit Economics &amp; ROI client</t>
  </si>
  <si>
    <t>Cas de référence : camion / remorque frigorifique | objectifs à confirmer par prototype et devis fournisseurs</t>
  </si>
  <si>
    <t>A. ROI client — scénario prudent</t>
  </si>
  <si>
    <t>Prix client du système</t>
  </si>
  <si>
    <t>Économie gazole</t>
  </si>
  <si>
    <t>Valeur du gazole</t>
  </si>
  <si>
    <t>Économie carburant</t>
  </si>
  <si>
    <t>Économies annuelles totales</t>
  </si>
  <si>
    <t>Payback client</t>
  </si>
  <si>
    <t>CO2e évité</t>
  </si>
  <si>
    <t>tCO2e/an</t>
  </si>
  <si>
    <t>Économies brutes sur 10 ans</t>
  </si>
  <si>
    <t>Valeur créée / prix système</t>
  </si>
  <si>
    <t>x</t>
  </si>
  <si>
    <t>B. Économie unitaire SOLAR WRAP</t>
  </si>
  <si>
    <t>2028 commercial</t>
  </si>
  <si>
    <t>COGS hardware</t>
  </si>
  <si>
    <t>Marge brute hardware</t>
  </si>
  <si>
    <t>Marge brute SaaS annuelle</t>
  </si>
  <si>
    <t>Contribution 5 ans SaaS</t>
  </si>
  <si>
    <t>Contribution client 5 ans</t>
  </si>
  <si>
    <t>C. Seuil de rentabilité opérationnel</t>
  </si>
  <si>
    <t>2030</t>
  </si>
  <si>
    <t>OPEX fixes cash</t>
  </si>
  <si>
    <t>Marge unitaire hardware</t>
  </si>
  <si>
    <t>Marge brute SaaS + services</t>
  </si>
  <si>
    <t>Unités de break-even</t>
  </si>
  <si>
    <t>Unités prévues</t>
  </si>
  <si>
    <t>Marge de sécurité</t>
  </si>
  <si>
    <t>SOLAR WRAP — Compte de résultat prévisionnel</t>
  </si>
  <si>
    <t>Montants en k€ | modèle central | pertes fiscales reportées simplifiées</t>
  </si>
  <si>
    <t>Compte de résultat</t>
  </si>
  <si>
    <t>k€</t>
  </si>
  <si>
    <t>CHIFFRE D'AFFAIRES</t>
  </si>
  <si>
    <t>COGS SaaS</t>
  </si>
  <si>
    <t>COGS services</t>
  </si>
  <si>
    <t>COGS TOTAL</t>
  </si>
  <si>
    <t>MARGE BRUTE</t>
  </si>
  <si>
    <t>Marge brute</t>
  </si>
  <si>
    <t>Masse salariale</t>
  </si>
  <si>
    <t>R&amp;D hors payroll</t>
  </si>
  <si>
    <t>OPEX CASH</t>
  </si>
  <si>
    <t>EBITDA</t>
  </si>
  <si>
    <t>Marge EBITDA</t>
  </si>
  <si>
    <t>Dotations aux amortissements</t>
  </si>
  <si>
    <t>EBIT</t>
  </si>
  <si>
    <t>Résultat financier</t>
  </si>
  <si>
    <t>Résultat avant impôt</t>
  </si>
  <si>
    <t>Déficits reportables ouverture</t>
  </si>
  <si>
    <t>Déficits générés</t>
  </si>
  <si>
    <t>Déficits utilisés</t>
  </si>
  <si>
    <t>Déficits reportables clôture</t>
  </si>
  <si>
    <t>Résultat taxable</t>
  </si>
  <si>
    <t>IS</t>
  </si>
  <si>
    <t>RÉSULTAT NET</t>
  </si>
  <si>
    <t>Marge nette</t>
  </si>
  <si>
    <t>SOLAR WRAP — Trésorerie, BFR et besoin de financement</t>
  </si>
  <si>
    <t>Montants en k€ | le besoin de financement est calculé avant apports externes</t>
  </si>
  <si>
    <t>Cash Flow</t>
  </si>
  <si>
    <t>IS payé</t>
  </si>
  <si>
    <t>Créances clients</t>
  </si>
  <si>
    <t>Stock</t>
  </si>
  <si>
    <t>Dettes fournisseurs</t>
  </si>
  <si>
    <t>BFR net</t>
  </si>
  <si>
    <t>Variation BFR</t>
  </si>
  <si>
    <t>FREE CASH FLOW AVANT FINANCEMENT</t>
  </si>
  <si>
    <t>Trésorerie ouverture</t>
  </si>
  <si>
    <t>Financement externe</t>
  </si>
  <si>
    <t>TRÉSORERIE CLÔTURE</t>
  </si>
  <si>
    <t>Trésorerie avant financement</t>
  </si>
  <si>
    <t>SOLAR WRAP — Plan de financement</t>
  </si>
  <si>
    <t>Objectif : financer le passage prototype → industrialisation → déploiement sans dépendre d'hypothèses de licences ou subventions non sécurisées</t>
  </si>
  <si>
    <t>A. Besoin de financement</t>
  </si>
  <si>
    <t>Besoin de financement maximal avant apports</t>
  </si>
  <si>
    <t>Enveloppe de financement prévue</t>
  </si>
  <si>
    <t>Marge de sécurité de financement</t>
  </si>
  <si>
    <t>Année EBITDA positif</t>
  </si>
  <si>
    <t>année</t>
  </si>
  <si>
    <t>Année FCF positif</t>
  </si>
  <si>
    <t>B. Tranches proposées dans le modèle</t>
  </si>
  <si>
    <t>Tranche</t>
  </si>
  <si>
    <t>Nature indicative</t>
  </si>
  <si>
    <t>Equity / non dilutif / dette à structurer</t>
  </si>
  <si>
    <t>C. Utilisation économique des fonds — lecture COMEX</t>
  </si>
  <si>
    <t>Usage</t>
  </si>
  <si>
    <t>Période</t>
  </si>
  <si>
    <t>Rationale</t>
  </si>
  <si>
    <t>Prototype, validation technique, homologation</t>
  </si>
  <si>
    <t>2027–2028</t>
  </si>
  <si>
    <t>Priorité n°1 : prouver rendement, durabilité, sécurité et intégration véhicule</t>
  </si>
  <si>
    <t>Industrialisation / outillage / électronique</t>
  </si>
  <si>
    <t>2028–2030</t>
  </si>
  <si>
    <t>Construire une architecture industrialisable, avec sous-traitance plutôt qu'une usine lourde</t>
  </si>
  <si>
    <t>BFR de croissance</t>
  </si>
  <si>
    <t>2029–2031</t>
  </si>
  <si>
    <t>Financer stock, créances grands comptes et montée en volumes</t>
  </si>
  <si>
    <t>Commercial / réseau installateurs</t>
  </si>
  <si>
    <t>2028–2033</t>
  </si>
  <si>
    <t>Accélérer les contrats flotte et la capacité de pose</t>
  </si>
  <si>
    <t>SOLAR CONTROL / data</t>
  </si>
  <si>
    <t>2027–2033</t>
  </si>
  <si>
    <t>Créer la couche logicielle différenciante et le revenu récurrent</t>
  </si>
  <si>
    <t>SOLAR WRAP — Scénarios Downside / Base / Upside</t>
  </si>
  <si>
    <t>Les scénarios modifient volumes, prix, coût unitaire, OPEX et CAPEX ; aucun revenu OEM/licence n'est ajouté</t>
  </si>
  <si>
    <t>Scénario</t>
  </si>
  <si>
    <t>Volume</t>
  </si>
  <si>
    <t>Prix</t>
  </si>
  <si>
    <t>COGS / unité</t>
  </si>
  <si>
    <t>OPEX fixe</t>
  </si>
  <si>
    <t>Downside</t>
  </si>
  <si>
    <t>Base</t>
  </si>
  <si>
    <t>Upside</t>
  </si>
  <si>
    <t>Synthèse</t>
  </si>
  <si>
    <t>CA 2030 (M€)</t>
  </si>
  <si>
    <t>CA 2033 (M€)</t>
  </si>
  <si>
    <t>Marge EBITDA 2033</t>
  </si>
  <si>
    <t>Break-even EBITDA</t>
  </si>
  <si>
    <t>Besoin max financement (M€)</t>
  </si>
  <si>
    <t>Downside — trajectoire</t>
  </si>
  <si>
    <t>Unités</t>
  </si>
  <si>
    <t>CA</t>
  </si>
  <si>
    <t>BFR</t>
  </si>
  <si>
    <t>FCF avant financement</t>
  </si>
  <si>
    <t>Cash cumulé sans financement</t>
  </si>
  <si>
    <t>Base — trajectoire</t>
  </si>
  <si>
    <t>Upside — trajectoire</t>
  </si>
  <si>
    <t>SOLAR WRAP — Sensibilité EBITDA 2030</t>
  </si>
  <si>
    <t>Sensibilité à la marge brute hardware et au volume de ventes ; montants en M€</t>
  </si>
  <si>
    <t>EBITDA 2030 selon volume et marge brute hardware</t>
  </si>
  <si>
    <t>Volume vs base</t>
  </si>
  <si>
    <t>Unités 2030</t>
  </si>
  <si>
    <t>SOLAR WRAP — Sources, marché et niveau de preuve</t>
  </si>
  <si>
    <t>Les données externes soutiennent le cas d'usage ; les coûts, prix et volumes SOLAR WRAP restent des hypothèses management à valider</t>
  </si>
  <si>
    <t>Sujet</t>
  </si>
  <si>
    <t>Donnée utilisée</t>
  </si>
  <si>
    <t>Source</t>
  </si>
  <si>
    <t>URL</t>
  </si>
  <si>
    <t>Utilisation dans le modèle</t>
  </si>
  <si>
    <t>VIPV poids lourds / remorques</t>
  </si>
  <si>
    <t>Jusqu'à 55 kWh/j été sur toit; 90–110 kWh/j avec flancs; cas de payback &lt;2 ans diesel selon simulation</t>
  </si>
  <si>
    <t>Fraunhofer ISE / SolarMoves 2026</t>
  </si>
  <si>
    <t>https://www.ise.fraunhofer.de/content/dam/ise/en/documents/press-releases/2026/1426_ISE_e_PR_Solar-cells-on-vehicles-can-take-the-pressure-off-the-grid-in-Europe.pdf</t>
  </si>
  <si>
    <t>Validation du cas d'usage logistique; non utilisé comme revenu direct</t>
  </si>
  <si>
    <t>Économie diesel camion 40 t</t>
  </si>
  <si>
    <t>1 500–2 100 L/an dans une campagne Fraunhofer historique</t>
  </si>
  <si>
    <t>Fraunhofer ISE</t>
  </si>
  <si>
    <t>https://www.ise.fraunhofer.de/content/dam/ise/en/documents/information-material/brochures/23_en_ISE_Flyer_Solar_modules_integrated_in_trucks_and_vans.pdf</t>
  </si>
  <si>
    <t>Le modèle retient le bas de fourchette: 1 500 L/an</t>
  </si>
  <si>
    <t>Remorque frigorifique</t>
  </si>
  <si>
    <t>Sono annonce &gt;4,5 kWp et ROI 3–5 ans selon usage</t>
  </si>
  <si>
    <t>Sono Motors</t>
  </si>
  <si>
    <t>https://ir.sonomotors.com/news-releases/news-release-details/sono-group-nv-accelerates-commercial-rollout-solar-technology/</t>
  </si>
  <si>
    <t>Benchmark de faisabilité commerciale / ROI</t>
  </si>
  <si>
    <t>Bus</t>
  </si>
  <si>
    <t>Jusqu'à 1 250 L diesel ou 2,1 MWh par bus/an (claim fournisseur)</t>
  </si>
  <si>
    <t>https://sonomotors.com/site/assets/files/8669/sono_motors_solar_bus_kit_info_sheet_en-1.pdf</t>
  </si>
  <si>
    <t>Marché secondaire; non inclus dans l'économie client de base</t>
  </si>
  <si>
    <t>Prix électricité entreprises</t>
  </si>
  <si>
    <t>France / UE: ordre de grandeur ~0,16 €/kWh pour certains consommateurs non ménagers en 2026-S1</t>
  </si>
  <si>
    <t>Eurostat</t>
  </si>
  <si>
    <t>https://ec.europa.eu/eurostat/databrowser/view/NRG_PC_205/default/table?category=nrg.nrg_price.nrg_pc&amp;lang=en</t>
  </si>
  <si>
    <t>Benchmark seulement; le ROI client de base est centré gazole</t>
  </si>
  <si>
    <t>Prix gazole France</t>
  </si>
  <si>
    <t>Moyenne 2025: 1,62 €/L TTC; forte volatilité en 2026</t>
  </si>
  <si>
    <t>SDES / Ministère transition écologique</t>
  </si>
  <si>
    <t>https://www.statistiques.developpement-durable.gouv.fr/media/9426/download?inline=</t>
  </si>
  <si>
    <t>Le modèle retient 1,50 €/L, volontairement prudent et normalisé</t>
  </si>
  <si>
    <t>Facteur émission gazole</t>
  </si>
  <si>
    <t>Ordre de grandeur ~3,1 kgCO2e/L amont + combustion</t>
  </si>
  <si>
    <t>ADEME / Base Empreinte (repris par sources publiques)</t>
  </si>
  <si>
    <t>https://base-empreinte.ademe.fr/</t>
  </si>
  <si>
    <t>Calcul CO2e évité</t>
  </si>
  <si>
    <t>Impôt sur les sociétés</t>
  </si>
  <si>
    <t>Taux normal 25%</t>
  </si>
  <si>
    <t>Service-Public / DILA</t>
  </si>
  <si>
    <t>Calcul IS après utilisation des déficits reportables</t>
  </si>
  <si>
    <t>Marché camions électriques</t>
  </si>
  <si>
    <t>&gt;400 000 ventes mondiales en 2025; 9% des ventes de camions</t>
  </si>
  <si>
    <t>IEA Global EV Outlook 2026</t>
  </si>
  <si>
    <t>https://www.iea.org/reports/global-ev-outlook-2026/trends-in-other-ev-modes</t>
  </si>
  <si>
    <t>TAM marché professionnel</t>
  </si>
  <si>
    <t>Marché utilitaires électriques</t>
  </si>
  <si>
    <t>&gt;430 000 ventes mondiales en 2025</t>
  </si>
  <si>
    <t>Marché bus électriques</t>
  </si>
  <si>
    <t>~70 000 ventes mondiales en 2025</t>
  </si>
  <si>
    <t>Voitures électriques — option future</t>
  </si>
  <si>
    <t>&gt;20 M ventes mondiales en 2025</t>
  </si>
  <si>
    <t>https://www.iea.org/reports/global-ev-outlook-2026/trends-in-electric-cars</t>
  </si>
  <si>
    <t>Exclu du cas central</t>
  </si>
  <si>
    <t>Australie — modifications PL</t>
  </si>
  <si>
    <t>Modifications mineures / communes / complexes selon cadre NHVR; certification possible selon cas</t>
  </si>
  <si>
    <t>NHVR</t>
  </si>
  <si>
    <t>https://www.nhvr.gov.au/safety-accreditation-compliance/vehicle-standards-and-modifications/heavy-vehicle-modifications</t>
  </si>
  <si>
    <t>Priorisation GTM; à confirmer pour le kit exact</t>
  </si>
  <si>
    <t>Chili — accord UE</t>
  </si>
  <si>
    <t>Interim Trade Agreement UE-Chili en vigueur depuis 01/02/2025; 99,9% des exportations UE annoncées sans droits à terme/selon règles</t>
  </si>
  <si>
    <t>Commission européenne</t>
  </si>
  <si>
    <t>https://policy.trade.ec.europa.eu/eu-trade-relationships-country-and-region/countries-and-regions/chile/eu-chile-agreement_en</t>
  </si>
  <si>
    <t>Facilitation commerciale; règles d'origine à vérifier</t>
  </si>
  <si>
    <t>Afrique du Sud — véhicules modifiés</t>
  </si>
  <si>
    <t>LOA requise dans plusieurs cas de construction/modification de véhicules</t>
  </si>
  <si>
    <t>NRCS</t>
  </si>
  <si>
    <t>https://www.nrcs.org.za/automotive/importing-vehicles/</t>
  </si>
  <si>
    <t>Risque réglementaire pays</t>
  </si>
  <si>
    <t>Brésil — modifications véhicules</t>
  </si>
  <si>
    <t>Autorisation préalable et exigences réglementaires selon modification</t>
  </si>
  <si>
    <t>CONTRAN / Gov.br</t>
  </si>
  <si>
    <t>https://www.gov.br/transportes/pt-br/assuntos/transito/conteudo-contran/resolucao-contran-no-916-de-28-de-marco-de-2022</t>
  </si>
  <si>
    <t>SOLAR WRAP — Business Plan V2 | Prévisionnel 2027–2033</t>
  </si>
  <si>
    <t>Scénario central prudent | Beachhead: camions / remorques frigorifiques | déploiement: Europe → Australie / Chili → Afrique du Sud / Brésil | aucune licence OEM ni subvention non sécurisée</t>
  </si>
  <si>
    <t>Scénario central prudent | Beachhead: camions / remorques frigorifiques | modèle sans licences OEM ni subventions non sécurisées</t>
  </si>
  <si>
    <t>CA 2030</t>
  </si>
  <si>
    <t>CA 2033</t>
  </si>
  <si>
    <t>EBITDA positif</t>
  </si>
  <si>
    <t>M€</t>
  </si>
  <si>
    <t>Besoin max financement</t>
  </si>
  <si>
    <t>ans</t>
  </si>
  <si>
    <t>Unités cumulées</t>
  </si>
  <si>
    <t>CO2e évité / véhicule</t>
  </si>
  <si>
    <t>Part TAM 2033</t>
  </si>
  <si>
    <t>t/an</t>
  </si>
  <si>
    <t>du TAM pro électrique 2025</t>
  </si>
  <si>
    <t>Trajectoire financière</t>
  </si>
  <si>
    <t>CA (M€)</t>
  </si>
  <si>
    <t>EBITDA (M€)</t>
  </si>
  <si>
    <t>Lecture COMEX</t>
  </si>
  <si>
    <t>1</t>
  </si>
  <si>
    <t>Le cas central atteint l'EBITDA positif en 2030, avant d'entrer dans une phase de forte génération de cash.</t>
  </si>
  <si>
    <t>2</t>
  </si>
  <si>
    <t>Le besoin maximal de financement avant apports est d'environ 5,8 M€; le modèle prévoit 6,0 M€ de financement par tranches.</t>
  </si>
  <si>
    <t>3</t>
  </si>
  <si>
    <t>La rentabilité repose d'abord sur la marge hardware et le volume; SOLAR CONTROL améliore ensuite la récurrence et la valeur par client.</t>
  </si>
  <si>
    <t>4</t>
  </si>
  <si>
    <t>Le ROI client de référence est proche de 4 ans sur un usage frigorifique diesel/hybride prudent; il doit être confirmé sur prototype.</t>
  </si>
  <si>
    <t>5</t>
  </si>
  <si>
    <t>Aucun revenu de licence OEM, aucune subvention et aucun Energy-as-a-Service ne sont nécessaires pour rendre le scénario central viable.</t>
  </si>
  <si>
    <t>L'objectif 2033 de 5 000 installations représente seulement ~0,56 % du TAM annuel actuel des véhicules professionnels électriques; le volume n'exige donc pas une domination mondiale.</t>
  </si>
  <si>
    <t>SOLAR WRAP — Marché mondial | TAM / SAM / SOM</t>
  </si>
  <si>
    <t>Base de marché 2025 (IEA) : véhicules professionnels électriques. Les hybrides non rechargeables et les voitures particulières sont exclus du cas central.</t>
  </si>
  <si>
    <t>A. Taille du marché mondial — flux annuel 2025</t>
  </si>
  <si>
    <t>Segment</t>
  </si>
  <si>
    <t>Ventes mondiales 2025</t>
  </si>
  <si>
    <t>Statut</t>
  </si>
  <si>
    <t>Marché</t>
  </si>
  <si>
    <t>Véhicules/an</t>
  </si>
  <si>
    <t>Camions électriques</t>
  </si>
  <si>
    <t>véhicules/an</t>
  </si>
  <si>
    <t>TAM</t>
  </si>
  <si>
    <t>Utilitaires légers électriques</t>
  </si>
  <si>
    <t>SAM</t>
  </si>
  <si>
    <t>Bus électriques</t>
  </si>
  <si>
    <t>SOM 2033</t>
  </si>
  <si>
    <t>TAM CORE — véhicules professionnels électriques</t>
  </si>
  <si>
    <t>Calcul</t>
  </si>
  <si>
    <t>Somme des segments ci-dessus</t>
  </si>
  <si>
    <t>B. Marché accessible et part nécessaire pour réussir le business plan</t>
  </si>
  <si>
    <t>TAM CORE 2025</t>
  </si>
  <si>
    <t>Source + calcul</t>
  </si>
  <si>
    <t>Marché mondial actuel de référence</t>
  </si>
  <si>
    <t>Part du TAM considérée techniquement/commercialement adressable</t>
  </si>
  <si>
    <t>Surface, exposition, usage intensif, ROI et compatibilité technique</t>
  </si>
  <si>
    <t>SAM annuel</t>
  </si>
  <si>
    <t>TAM × part adressable</t>
  </si>
  <si>
    <t>SOM SOLAR WRAP 2033</t>
  </si>
  <si>
    <t>Lié au prévisionnel</t>
  </si>
  <si>
    <t>Objectif annuel du scénario central</t>
  </si>
  <si>
    <t>Part du TAM nécessaire en 2033</t>
  </si>
  <si>
    <t>&lt; 1 % du marché mondial professionnel actuel</t>
  </si>
  <si>
    <t>Part du SAM nécessaire en 2033</t>
  </si>
  <si>
    <t>Objectif commercial ambitieux mais crédible</t>
  </si>
  <si>
    <t>Unités cumulées 2027–2033 / TAM constant 7 ans</t>
  </si>
  <si>
    <t>Mesure du niveau de pénétration requis sur 7 ans</t>
  </si>
  <si>
    <t>C. Option de croissance future — non incluse dans le cas central</t>
  </si>
  <si>
    <t>Traitement</t>
  </si>
  <si>
    <t>Voitures électriques (BEV + PHEV)</t>
  </si>
  <si>
    <t>Exclu du business plan central; option mass market à long terme</t>
  </si>
  <si>
    <t>SOLAR WRAP — Go-to-Market international</t>
  </si>
  <si>
    <t>Principe : démarrer là où la douleur énergétique, l'ensoleillement et l'accès au client flotte compensent la friction réglementaire. Les notes ci-dessous sont des appréciations management, pas des données statistiques.</t>
  </si>
  <si>
    <t>A. Priorisation des pays / régions</t>
  </si>
  <si>
    <t>Entrée cible</t>
  </si>
  <si>
    <t>Friction réglementaire
1 faible / 5 forte</t>
  </si>
  <si>
    <t>Douleur client
1–5</t>
  </si>
  <si>
    <t>Potentiel solaire
1–5</t>
  </si>
  <si>
    <t>Priorité /10</t>
  </si>
  <si>
    <t>Pourquoi</t>
  </si>
  <si>
    <t>Point de vigilance</t>
  </si>
  <si>
    <t>Source réglementaire / marché</t>
  </si>
  <si>
    <t>France / Europe</t>
  </si>
  <si>
    <t>Proximité équipe, premier prototype, références commerciales, réglementation climat</t>
  </si>
  <si>
    <t>Homologation et intégration véhicule à sécuriser</t>
  </si>
  <si>
    <t>Base de lancement / marché domestique</t>
  </si>
  <si>
    <t>Australie</t>
  </si>
  <si>
    <t>Longues distances, poids lourds, fort ensoleillement, marché anglophone</t>
  </si>
  <si>
    <t>Vérifier classification exacte de la modification et certification locale</t>
  </si>
  <si>
    <t>Chili</t>
  </si>
  <si>
    <t>Très fort solaire, mines/logistique, forte électrification des bus, accord UE-Chili</t>
  </si>
  <si>
    <t>Valider exigences véhicule et importation kit au cas par cas</t>
  </si>
  <si>
    <t>Afrique du Sud</t>
  </si>
  <si>
    <t>Soleil, logistique, transport routier, porte d'entrée régionale</t>
  </si>
  <si>
    <t>LOA / conformité possible pour véhicules modifiés</t>
  </si>
  <si>
    <t>Brésil</t>
  </si>
  <si>
    <t>Très grand marché, bus et logistique, potentiel de scale</t>
  </si>
  <si>
    <t>Processus réglementaire de modification plus lourd</t>
  </si>
  <si>
    <t>Autres marchés</t>
  </si>
  <si>
    <t>Déploiement via partenaires et distributeurs après preuve de ROI</t>
  </si>
  <si>
    <t>Sélection pays par pays</t>
  </si>
  <si>
    <t>À qualifier</t>
  </si>
  <si>
    <t>B. Répartition indicative des unités vendues par géographie</t>
  </si>
  <si>
    <t>Région</t>
  </si>
  <si>
    <t>% unités</t>
  </si>
  <si>
    <t>C. Unités prévues par géographie — liées au prévisionnel central</t>
  </si>
  <si>
    <t>Année</t>
  </si>
  <si>
    <t>Total</t>
  </si>
  <si>
    <t>TOTAL</t>
  </si>
  <si>
    <t>SOLAR WRAP — SWOT &amp; PESTEL | Lecture stratégique</t>
  </si>
  <si>
    <t>Objectif : créer un produit indispensable par le ROI et le coût d'inaction, pas seulement par la nouveauté technologique.</t>
  </si>
  <si>
    <t>A. SWOT</t>
  </si>
  <si>
    <t>FORCES</t>
  </si>
  <si>
    <t>FAIBLESSES</t>
  </si>
  <si>
    <t>OPPORTUNITÉS</t>
  </si>
  <si>
    <t>MENACES</t>
  </si>
  <si>
    <t>Réduit potentiellement TCO + énergie + CO₂ sur un même actif</t>
  </si>
  <si>
    <t>ROI encore à démontrer par prototype et données terrain</t>
  </si>
  <si>
    <t>Électrification rapide des camions, bus et utilitaires</t>
  </si>
  <si>
    <t>OEM / équipementiers / acteurs solaires peuvent intégrer des solutions concurrentes</t>
  </si>
  <si>
    <t>Retrofit possible sur parc existant; ne dépend pas uniquement des ventes de véhicules neufs</t>
  </si>
  <si>
    <t>Dépendance à la performance et à la durabilité des technologies PV partenaires</t>
  </si>
  <si>
    <t>Pression mondiale sur coût énergétique et décarbonation des flottes</t>
  </si>
  <si>
    <t>Baisse du prix batteries / énergie peut réduire la valeur relative du solaire embarqué</t>
  </si>
  <si>
    <t>Architecture hybride: toit + surfaces complexes + SOLAR CONTROL</t>
  </si>
  <si>
    <t>Homologation, garantie, assurance et installation à industrialiser</t>
  </si>
  <si>
    <t>Australie, Chili et marchés fortement ensoleillés pour démontrer le ROI</t>
  </si>
  <si>
    <t>Barrières réglementaires différentes par pays</t>
  </si>
  <si>
    <t>Marché mondial professionnel large avec &lt;1 % de part nécessaire au plan 2033</t>
  </si>
  <si>
    <t>BFR et financement nécessaires avant scale</t>
  </si>
  <si>
    <t>Revenus récurrents SOLAR CONTROL, certification, licences à terme</t>
  </si>
  <si>
    <t>Dépendance aux fournisseurs et évolution technologique rapide</t>
  </si>
  <si>
    <t>Données, monitoring et réseau installateurs peuvent créer un moat</t>
  </si>
  <si>
    <t>Risque de copie si la proposition se limite au film photovoltaïque</t>
  </si>
  <si>
    <t>Partenariats OEM / frigoristes / carrosseries / loueurs</t>
  </si>
  <si>
    <t>Performance réelle dégradée par ombrage, salissure, orientation, usage véhicule</t>
  </si>
  <si>
    <t>B. PESTEL</t>
  </si>
  <si>
    <t>Facteur</t>
  </si>
  <si>
    <t>Tendance</t>
  </si>
  <si>
    <t>Impact SOLAR WRAP</t>
  </si>
  <si>
    <t>Opportunité</t>
  </si>
  <si>
    <t>Risque</t>
  </si>
  <si>
    <t>Action recommandée</t>
  </si>
  <si>
    <t>Niveau</t>
  </si>
  <si>
    <t>Source / preuve</t>
  </si>
  <si>
    <t>Politique</t>
  </si>
  <si>
    <t>Décarbonation des transports et soutien aux véhicules zéro émission</t>
  </si>
  <si>
    <t>Accélère intérêt des flottes</t>
  </si>
  <si>
    <t>Pilotes avec flottes sous pression CO₂</t>
  </si>
  <si>
    <t>Politiques variables selon pays</t>
  </si>
  <si>
    <t>Ne pas dépendre des subventions</t>
  </si>
  <si>
    <t>Élevé</t>
  </si>
  <si>
    <t>IEA / réglementations locales</t>
  </si>
  <si>
    <t>À suivre</t>
  </si>
  <si>
    <t>Économique</t>
  </si>
  <si>
    <t>TCO, prix carburant et énergie deviennent déterminants</t>
  </si>
  <si>
    <t>ROI client au cœur de l'achat</t>
  </si>
  <si>
    <t>Vendre l'économie mesurée</t>
  </si>
  <si>
    <t>ROI insuffisant si rendement ou usage faible</t>
  </si>
  <si>
    <t>Cibler cas &gt; douleur et &gt; exposition</t>
  </si>
  <si>
    <t>Très élevé</t>
  </si>
  <si>
    <t>Unit Economics du modèle</t>
  </si>
  <si>
    <t>Critique</t>
  </si>
  <si>
    <t>Socioculturel</t>
  </si>
  <si>
    <t>Clients et donneurs d'ordre demandent des preuves ESG</t>
  </si>
  <si>
    <t>Valeur reporting et marque</t>
  </si>
  <si>
    <t>CO₂ évité mesuré par véhicule</t>
  </si>
  <si>
    <t>Greenwashing si données faibles</t>
  </si>
  <si>
    <t>Mesure auditée via SOLAR CONTROL</t>
  </si>
  <si>
    <t>Moyen</t>
  </si>
  <si>
    <t>Proposition de valeur</t>
  </si>
  <si>
    <t>À structurer</t>
  </si>
  <si>
    <t>Technologique</t>
  </si>
  <si>
    <t>Progrès PV flexible, électronique de puissance et télématique</t>
  </si>
  <si>
    <t>Améliore rendement/intégration</t>
  </si>
  <si>
    <t>Approche multi-technologies</t>
  </si>
  <si>
    <t>Obsolescence rapide</t>
  </si>
  <si>
    <t>Rester intégrateur agnostique</t>
  </si>
  <si>
    <t>Roadmap technologique</t>
  </si>
  <si>
    <t>Environnemental</t>
  </si>
  <si>
    <t>Fort ensoleillement sur plusieurs marchés cibles</t>
  </si>
  <si>
    <t>Augmente kWh et ROI</t>
  </si>
  <si>
    <t>Australie / Chili / Afrique</t>
  </si>
  <si>
    <t>Climat, poussière, chaleur, grêle</t>
  </si>
  <si>
    <t>Tests terrain par climat</t>
  </si>
  <si>
    <t>GTM International</t>
  </si>
  <si>
    <t>À tester</t>
  </si>
  <si>
    <t>Légal</t>
  </si>
  <si>
    <t>Modification véhicule et sécurité régulées pays par pays</t>
  </si>
  <si>
    <t>Conditionne vitesse de déploiement</t>
  </si>
  <si>
    <t>Démarrer par systèmes auxiliaires moins intrusifs</t>
  </si>
  <si>
    <t>Certification / responsabilité / assurance</t>
  </si>
  <si>
    <t>Cartographie réglementaire avant vente</t>
  </si>
  <si>
    <t>NHVR / NRCS / CONTRAN</t>
  </si>
  <si>
    <t>SOLAR WRAP — Plan d'action COMEX / HEC</t>
  </si>
  <si>
    <t>À compléter et mettre à jour à chaque revue projet.</t>
  </si>
  <si>
    <t>A. À renseigner</t>
  </si>
  <si>
    <t>Objectif prioritaire</t>
  </si>
  <si>
    <t>Démontrer qu'un camion/remorque frigorifique équipé de SOLAR WRAP génère un ROI client &lt;5 ans et une économie mesurable.</t>
  </si>
  <si>
    <t>Hypothèses à vérifier</t>
  </si>
  <si>
    <t>kWh réels, économies carburant/électricité, coût kit, temps de pose, durée de vie, homologation, willingness-to-pay.</t>
  </si>
  <si>
    <t>Actions en cours</t>
  </si>
  <si>
    <t>Identifier partenaires PV/électronique; sélectionner flotte pilote; cadrer prototype; qualifier Australie/Chili.</t>
  </si>
  <si>
    <t>Livrable attendu</t>
  </si>
  <si>
    <t>Prototype + business case mesuré + dossier de validation technique + offre commerciale pilote.</t>
  </si>
  <si>
    <t>Échéance</t>
  </si>
  <si>
    <t>À fixer par le COMEX / équipe HEC.</t>
  </si>
  <si>
    <t>Besoins auprès des autres pôles</t>
  </si>
  <si>
    <t>Produit: architecture; Marketing: interviews; Finance: ROI/financement; Direction: partenaires et arbitrages.</t>
  </si>
  <si>
    <t>Sources et liens</t>
  </si>
  <si>
    <t>Voir onglets Sources, Marché mondial et GTM International.</t>
  </si>
  <si>
    <t>Décisions prises</t>
  </si>
  <si>
    <t>Beachhead: camions/remorques frigorifiques; solution hybride; B2B; SOLAR CONTROL; expansion internationale progressive.</t>
  </si>
  <si>
    <t>B. Suivi</t>
  </si>
  <si>
    <t>Action</t>
  </si>
  <si>
    <t>Responsable</t>
  </si>
  <si>
    <t>Livrable / preuve</t>
  </si>
  <si>
    <t>Sélectionner 1 flotte frigorifique pilote</t>
  </si>
  <si>
    <t>LEVON</t>
  </si>
  <si>
    <t>À fixer</t>
  </si>
  <si>
    <t>À faire</t>
  </si>
  <si>
    <t>LOI / accord pilote</t>
  </si>
  <si>
    <t>Obtenir 2–3 devis fournisseurs PV + électronique</t>
  </si>
  <si>
    <t>Produit / Finance</t>
  </si>
  <si>
    <t>BOM + coût cible</t>
  </si>
  <si>
    <t>Construire prototype véhicule</t>
  </si>
  <si>
    <t>Produit</t>
  </si>
  <si>
    <t>Prototype installé</t>
  </si>
  <si>
    <t>Mesurer kWh, économies, CO₂ et disponibilité</t>
  </si>
  <si>
    <t>Après prototype</t>
  </si>
  <si>
    <t>Rapport de performance</t>
  </si>
  <si>
    <t>Qualifier homologation France + Australie + Chili</t>
  </si>
  <si>
    <t>Direction / Juridique</t>
  </si>
  <si>
    <t>Matrice réglementaire</t>
  </si>
  <si>
    <t>Interviewer 10–20 gestionnaires de flotte</t>
  </si>
  <si>
    <t>Marketing</t>
  </si>
  <si>
    <t>Synthèse interviews + willingness-to-pay</t>
  </si>
  <si>
    <t>Sécuriser plan de financement phase pilote</t>
  </si>
  <si>
    <t>Finance</t>
  </si>
  <si>
    <t>Financement / budget approuvé</t>
  </si>
  <si>
    <t>GESTION &amp;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</si>
</sst>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;[Red]\(0.0%\);\-"/>
    <numFmt numFmtId="165" formatCode="#,##0;[Red]\(#,##0\);\-"/>
    <numFmt numFmtId="166" formatCode="\€#,##0;[Red]\(\€#,##0\);\-"/>
    <numFmt numFmtId="167" formatCode="0.0;[Red]\(0.0\);\-"/>
    <numFmt numFmtId="168" formatCode="0.0\x"/>
    <numFmt numFmtId="169" formatCode="0.0"/>
    <numFmt numFmtId="172" formatCode="0.0&quot;%&quot;"/>
    <numFmt numFmtId="173" formatCode="0.00&quot;%&quot;"/>
  </numFmts>
  <fonts count="21">
    <font>
      <sz val="11"/>
      <name val="Carlito"/>
    </font>
    <font>
      <b/>
      <sz val="18"/>
      <color rgb="FFFFFFFF"/>
      <name val="Carlito"/>
    </font>
    <font>
      <i/>
      <sz val="10"/>
      <color rgb="FF111827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sz val="11"/>
      <color rgb="FF0000FF"/>
      <name val="Carlito"/>
    </font>
    <font>
      <sz val="11"/>
      <color rgb="FF008000"/>
      <name val="Carlito"/>
    </font>
    <font>
      <sz val="11"/>
      <color rgb="FF111827"/>
      <name val="Carlito"/>
    </font>
    <font>
      <b/>
      <sz val="10"/>
      <color rgb="FF17324D"/>
      <name val="Carlito"/>
    </font>
    <font>
      <b/>
      <sz val="16"/>
      <color rgb="FF111827"/>
      <name val="Carlito"/>
    </font>
    <font>
      <i/>
      <sz val="9"/>
      <color rgb="FF6B7280"/>
      <name val="Carlito"/>
    </font>
    <font>
      <sz val="10"/>
      <color rgb="FF111827"/>
      <name val="Carlito"/>
    </font>
    <font>
      <b/>
      <sz val="16"/>
      <color rgb="FF182230"/>
      <name val="Carlito"/>
    </font>
    <font>
      <i/>
      <sz val="11"/>
      <color rgb="FF6B7280"/>
      <name val="Carlito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8"/>
      <color rgb="FFFFFFFF"/>
      <name val="Arial"/>
      <family val="2"/>
    </font>
    <font>
      <i/>
      <sz val="10"/>
      <color rgb="FF182230"/>
      <name val="Arial"/>
      <family val="2"/>
    </font>
    <font>
      <b/>
      <sz val="11"/>
      <color rgb="FFFFFFFF"/>
      <name val="Arial"/>
      <family val="2"/>
    </font>
    <font>
      <b/>
      <sz val="10"/>
      <color rgb="FF17324D"/>
      <name val="Arial"/>
      <family val="2"/>
    </font>
    <font>
      <sz val="10"/>
      <color rgb="FF18223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C99927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D4A126"/>
      </patternFill>
    </fill>
  </fills>
  <borders count="2">
    <border>
      <left/>
      <right/>
      <top/>
      <bottom/>
      <diagonal/>
    </border>
    <border>
      <left/>
      <right/>
      <top style="thin">
        <color rgb="FF111827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9" fontId="6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0" fontId="3" fillId="7" borderId="0" xfId="0" applyFont="1" applyFill="1" applyAlignment="1">
      <alignment horizontal="center" vertical="center" wrapText="1"/>
    </xf>
    <xf numFmtId="164" fontId="5" fillId="5" borderId="0" xfId="0" applyNumberFormat="1" applyFont="1" applyFill="1" applyAlignment="1">
      <alignment vertical="center" wrapText="1"/>
    </xf>
    <xf numFmtId="165" fontId="5" fillId="5" borderId="0" xfId="0" applyNumberFormat="1" applyFont="1" applyFill="1" applyAlignment="1">
      <alignment vertical="center" wrapText="1"/>
    </xf>
    <xf numFmtId="166" fontId="5" fillId="5" borderId="0" xfId="0" applyNumberFormat="1" applyFont="1" applyFill="1" applyAlignment="1">
      <alignment vertical="center" wrapText="1"/>
    </xf>
    <xf numFmtId="167" fontId="5" fillId="5" borderId="0" xfId="0" applyNumberFormat="1" applyFont="1" applyFill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6" fontId="5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167" fontId="6" fillId="0" borderId="0" xfId="0" applyNumberFormat="1" applyFont="1" applyAlignment="1">
      <alignment vertical="center"/>
    </xf>
    <xf numFmtId="168" fontId="6" fillId="0" borderId="0" xfId="0" applyNumberFormat="1" applyFont="1" applyAlignment="1">
      <alignment vertical="center"/>
    </xf>
    <xf numFmtId="165" fontId="4" fillId="0" borderId="1" xfId="0" applyNumberFormat="1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 wrapText="1"/>
    </xf>
    <xf numFmtId="164" fontId="5" fillId="5" borderId="0" xfId="0" applyNumberFormat="1" applyFont="1" applyFill="1" applyAlignment="1">
      <alignment vertical="center"/>
    </xf>
    <xf numFmtId="169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0" fontId="8" fillId="9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169" fontId="15" fillId="0" borderId="0" xfId="0" applyNumberFormat="1" applyFont="1" applyAlignment="1">
      <alignment vertical="center" wrapText="1"/>
    </xf>
    <xf numFmtId="9" fontId="15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9" borderId="0" xfId="0" applyFont="1" applyFill="1" applyAlignment="1">
      <alignment horizontal="center" vertical="center" wrapText="1"/>
    </xf>
    <xf numFmtId="165" fontId="15" fillId="0" borderId="0" xfId="0" applyNumberFormat="1" applyFont="1" applyAlignment="1">
      <alignment vertical="center" wrapText="1"/>
    </xf>
    <xf numFmtId="165" fontId="14" fillId="0" borderId="0" xfId="0" applyNumberFormat="1" applyFont="1" applyAlignment="1">
      <alignment vertical="center" wrapText="1"/>
    </xf>
    <xf numFmtId="172" fontId="14" fillId="10" borderId="0" xfId="0" applyNumberFormat="1" applyFont="1" applyFill="1" applyAlignment="1">
      <alignment vertical="center" wrapText="1"/>
    </xf>
    <xf numFmtId="173" fontId="15" fillId="0" borderId="0" xfId="0" applyNumberFormat="1" applyFont="1" applyAlignment="1">
      <alignment vertical="center" wrapText="1"/>
    </xf>
    <xf numFmtId="0" fontId="3" fillId="11" borderId="0" xfId="0" applyFont="1" applyFill="1" applyAlignment="1">
      <alignment horizontal="center" vertical="center" wrapText="1"/>
    </xf>
    <xf numFmtId="165" fontId="0" fillId="0" borderId="0" xfId="0" applyNumberFormat="1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169" fontId="4" fillId="2" borderId="0" xfId="0" applyNumberFormat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1" fontId="4" fillId="2" borderId="0" xfId="0" applyNumberFormat="1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 wrapText="1"/>
    </xf>
    <xf numFmtId="169" fontId="9" fillId="6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" fontId="9" fillId="6" borderId="0" xfId="0" applyNumberFormat="1" applyFont="1" applyFill="1" applyAlignment="1">
      <alignment horizontal="center" vertical="center" wrapText="1"/>
    </xf>
    <xf numFmtId="164" fontId="9" fillId="6" borderId="0" xfId="0" applyNumberFormat="1" applyFont="1" applyFill="1" applyAlignment="1">
      <alignment horizontal="center" vertical="center" wrapText="1"/>
    </xf>
    <xf numFmtId="165" fontId="9" fillId="6" borderId="0" xfId="0" applyNumberFormat="1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8" fillId="9" borderId="0" xfId="0" applyFont="1" applyFill="1" applyAlignment="1">
      <alignment horizontal="center" vertical="center" wrapText="1"/>
    </xf>
    <xf numFmtId="173" fontId="12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6" fillId="8" borderId="0" xfId="0" applyFont="1" applyFill="1" applyAlignment="1">
      <alignment horizontal="left" vertical="center" wrapText="1"/>
    </xf>
    <xf numFmtId="0" fontId="17" fillId="9" borderId="0" xfId="0" applyFont="1" applyFill="1" applyAlignment="1">
      <alignment horizontal="left" vertical="center" wrapText="1"/>
    </xf>
    <xf numFmtId="0" fontId="18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3">
    <dxf>
      <fill>
        <patternFill>
          <bgColor rgb="FFFCE8E6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CA (M€)</c:v>
          </c:tx>
          <c:marker>
            <c:symbol val="none"/>
          </c:marker>
          <c:cat>
            <c:numRef>
              <c:f>Dashboard!$C$13:$I$13</c:f>
              <c:numCache>
                <c:formatCode>General</c:formatCode>
                <c:ptCount val="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</c:numCache>
            </c:numRef>
          </c:cat>
          <c:val>
            <c:numRef>
              <c:f>Dashboard!$C$14:$I$14</c:f>
              <c:numCache>
                <c:formatCode>0.0</c:formatCode>
                <c:ptCount val="7"/>
                <c:pt idx="0">
                  <c:v>0.12</c:v>
                </c:pt>
                <c:pt idx="1">
                  <c:v>1.3301892499999999</c:v>
                </c:pt>
                <c:pt idx="2">
                  <c:v>4.8879691439999995</c:v>
                </c:pt>
                <c:pt idx="3">
                  <c:v>11.7503558789615</c:v>
                </c:pt>
                <c:pt idx="4">
                  <c:v>23.154017998245141</c:v>
                </c:pt>
                <c:pt idx="5">
                  <c:v>36.475241345318658</c:v>
                </c:pt>
                <c:pt idx="6">
                  <c:v>51.699244440741872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3E-AB44-B254-A7DD597A0F78}"/>
            </c:ext>
          </c:extLst>
        </c:ser>
        <c:ser>
          <c:idx val="1"/>
          <c:order val="1"/>
          <c:tx>
            <c:v>EBITDA (M€)</c:v>
          </c:tx>
          <c:marker>
            <c:symbol val="none"/>
          </c:marker>
          <c:cat>
            <c:numRef>
              <c:f>Dashboard!$C$13:$I$13</c:f>
              <c:numCache>
                <c:formatCode>General</c:formatCode>
                <c:ptCount val="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</c:numCache>
            </c:numRef>
          </c:cat>
          <c:val>
            <c:numRef>
              <c:f>Dashboard!$C$15:$I$15</c:f>
              <c:numCache>
                <c:formatCode>0.0</c:formatCode>
                <c:ptCount val="7"/>
                <c:pt idx="0">
                  <c:v>-1.1074999999999999</c:v>
                </c:pt>
                <c:pt idx="1">
                  <c:v>-1.2993391375000001</c:v>
                </c:pt>
                <c:pt idx="2">
                  <c:v>-0.72997622760000014</c:v>
                </c:pt>
                <c:pt idx="3">
                  <c:v>0.99030249711727447</c:v>
                </c:pt>
                <c:pt idx="4">
                  <c:v>4.4779152985083694</c:v>
                </c:pt>
                <c:pt idx="5">
                  <c:v>9.0364551435208593</c:v>
                </c:pt>
                <c:pt idx="6">
                  <c:v>14.679357774630592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3E-AB44-B254-A7DD597A0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Unités</c:v>
          </c:tx>
          <c:invertIfNegative val="1"/>
          <c:cat>
            <c:numRef>
              <c:f>Dashboard!$C$13:$I$13</c:f>
              <c:numCache>
                <c:formatCode>General</c:formatCode>
                <c:ptCount val="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</c:numCache>
            </c:numRef>
          </c:cat>
          <c:val>
            <c:numRef>
              <c:f>Dashboard!$C$16:$I$16</c:f>
              <c:numCache>
                <c:formatCode>#\ ##0;[Red]\(#\ ##0\);\-</c:formatCode>
                <c:ptCount val="7"/>
                <c:pt idx="0">
                  <c:v>15</c:v>
                </c:pt>
                <c:pt idx="1">
                  <c:v>120</c:v>
                </c:pt>
                <c:pt idx="2">
                  <c:v>450</c:v>
                </c:pt>
                <c:pt idx="3">
                  <c:v>1100</c:v>
                </c:pt>
                <c:pt idx="4">
                  <c:v>2200</c:v>
                </c:pt>
                <c:pt idx="5">
                  <c:v>3500</c:v>
                </c:pt>
                <c:pt idx="6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2-3941-8382-C149B94CE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;[Red]\(#\ 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TAM / SAM / SOM — véhicules/an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Véhicules/an</c:v>
          </c:tx>
          <c:invertIfNegative val="1"/>
          <c:cat>
            <c:strRef>
              <c:f>'Marché mondial'!$H$6:$H$8</c:f>
              <c:strCache>
                <c:ptCount val="3"/>
                <c:pt idx="0">
                  <c:v>TAM</c:v>
                </c:pt>
                <c:pt idx="1">
                  <c:v>SAM</c:v>
                </c:pt>
                <c:pt idx="2">
                  <c:v>SOM 2033</c:v>
                </c:pt>
              </c:strCache>
            </c:strRef>
          </c:cat>
          <c:val>
            <c:numRef>
              <c:f>'Marché mondial'!$I$6:$I$8</c:f>
              <c:numCache>
                <c:formatCode>General</c:formatCode>
                <c:ptCount val="3"/>
                <c:pt idx="0">
                  <c:v>900000</c:v>
                </c:pt>
                <c:pt idx="1">
                  <c:v>225000</c:v>
                </c:pt>
                <c:pt idx="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E-6E4E-80D7-6FEA42D9D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Déploiement géographique indicatif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France / Europe</c:v>
          </c:tx>
          <c:invertIfNegative val="1"/>
          <c:cat>
            <c:numRef>
              <c:f>'GTM International'!$K$23:$K$29</c:f>
              <c:numCache>
                <c:formatCode>#\ ##0;[Red]\(#\ ##0\);\-</c:formatCode>
                <c:ptCount val="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</c:numCache>
            </c:numRef>
          </c:cat>
          <c:val>
            <c:numRef>
              <c:f>'GTM International'!$L$23:$L$29</c:f>
              <c:numCache>
                <c:formatCode>#\ ##0;[Red]\(#\ ##0\);\-</c:formatCode>
                <c:ptCount val="7"/>
                <c:pt idx="0">
                  <c:v>15</c:v>
                </c:pt>
                <c:pt idx="1">
                  <c:v>80.400000000000006</c:v>
                </c:pt>
                <c:pt idx="2">
                  <c:v>229.5</c:v>
                </c:pt>
                <c:pt idx="3">
                  <c:v>440</c:v>
                </c:pt>
                <c:pt idx="4">
                  <c:v>660</c:v>
                </c:pt>
                <c:pt idx="5">
                  <c:v>875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C-D341-B756-2558D2638624}"/>
            </c:ext>
          </c:extLst>
        </c:ser>
        <c:ser>
          <c:idx val="1"/>
          <c:order val="1"/>
          <c:tx>
            <c:v>Australie</c:v>
          </c:tx>
          <c:invertIfNegative val="1"/>
          <c:cat>
            <c:numRef>
              <c:f>'GTM International'!$K$23:$K$29</c:f>
              <c:numCache>
                <c:formatCode>#\ ##0;[Red]\(#\ ##0\);\-</c:formatCode>
                <c:ptCount val="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</c:numCache>
            </c:numRef>
          </c:cat>
          <c:val>
            <c:numRef>
              <c:f>'GTM International'!$M$23:$M$29</c:f>
              <c:numCache>
                <c:formatCode>#\ ##0;[Red]\(#\ ##0\);\-</c:formatCode>
                <c:ptCount val="7"/>
                <c:pt idx="0">
                  <c:v>0</c:v>
                </c:pt>
                <c:pt idx="1">
                  <c:v>25.2</c:v>
                </c:pt>
                <c:pt idx="2">
                  <c:v>90</c:v>
                </c:pt>
                <c:pt idx="3">
                  <c:v>220</c:v>
                </c:pt>
                <c:pt idx="4">
                  <c:v>396</c:v>
                </c:pt>
                <c:pt idx="5">
                  <c:v>560</c:v>
                </c:pt>
                <c:pt idx="6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C-D341-B756-2558D2638624}"/>
            </c:ext>
          </c:extLst>
        </c:ser>
        <c:ser>
          <c:idx val="2"/>
          <c:order val="2"/>
          <c:tx>
            <c:v>Chili</c:v>
          </c:tx>
          <c:invertIfNegative val="1"/>
          <c:cat>
            <c:numRef>
              <c:f>'GTM International'!$K$23:$K$29</c:f>
              <c:numCache>
                <c:formatCode>#\ ##0;[Red]\(#\ ##0\);\-</c:formatCode>
                <c:ptCount val="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</c:numCache>
            </c:numRef>
          </c:cat>
          <c:val>
            <c:numRef>
              <c:f>'GTM International'!$N$23:$N$29</c:f>
              <c:numCache>
                <c:formatCode>#\ ##0;[Red]\(#\ ##0\);\-</c:formatCode>
                <c:ptCount val="7"/>
                <c:pt idx="0">
                  <c:v>0</c:v>
                </c:pt>
                <c:pt idx="1">
                  <c:v>14.399999999999999</c:v>
                </c:pt>
                <c:pt idx="2">
                  <c:v>72</c:v>
                </c:pt>
                <c:pt idx="3">
                  <c:v>176</c:v>
                </c:pt>
                <c:pt idx="4">
                  <c:v>352</c:v>
                </c:pt>
                <c:pt idx="5">
                  <c:v>525</c:v>
                </c:pt>
                <c:pt idx="6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3C-D341-B756-2558D2638624}"/>
            </c:ext>
          </c:extLst>
        </c:ser>
        <c:ser>
          <c:idx val="3"/>
          <c:order val="3"/>
          <c:tx>
            <c:v>Afrique du Sud</c:v>
          </c:tx>
          <c:invertIfNegative val="1"/>
          <c:cat>
            <c:numRef>
              <c:f>'GTM International'!$K$23:$K$29</c:f>
              <c:numCache>
                <c:formatCode>#\ ##0;[Red]\(#\ ##0\);\-</c:formatCode>
                <c:ptCount val="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</c:numCache>
            </c:numRef>
          </c:cat>
          <c:val>
            <c:numRef>
              <c:f>'GTM International'!$O$23:$O$29</c:f>
              <c:numCache>
                <c:formatCode>#\ ##0;[Red]\(#\ ##0\);\-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40.5</c:v>
                </c:pt>
                <c:pt idx="3">
                  <c:v>110</c:v>
                </c:pt>
                <c:pt idx="4">
                  <c:v>264</c:v>
                </c:pt>
                <c:pt idx="5">
                  <c:v>420</c:v>
                </c:pt>
                <c:pt idx="6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3C-D341-B756-2558D2638624}"/>
            </c:ext>
          </c:extLst>
        </c:ser>
        <c:ser>
          <c:idx val="4"/>
          <c:order val="4"/>
          <c:tx>
            <c:v>Brésil</c:v>
          </c:tx>
          <c:invertIfNegative val="1"/>
          <c:cat>
            <c:numRef>
              <c:f>'GTM International'!$K$23:$K$29</c:f>
              <c:numCache>
                <c:formatCode>#\ ##0;[Red]\(#\ ##0\);\-</c:formatCode>
                <c:ptCount val="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</c:numCache>
            </c:numRef>
          </c:cat>
          <c:val>
            <c:numRef>
              <c:f>'GTM International'!$P$23:$P$29</c:f>
              <c:numCache>
                <c:formatCode>#\ ##0;[Red]\(#\ ##0\);\-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99</c:v>
                </c:pt>
                <c:pt idx="4">
                  <c:v>264</c:v>
                </c:pt>
                <c:pt idx="5">
                  <c:v>630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3C-D341-B756-2558D2638624}"/>
            </c:ext>
          </c:extLst>
        </c:ser>
        <c:ser>
          <c:idx val="5"/>
          <c:order val="5"/>
          <c:tx>
            <c:v>Autres marchés</c:v>
          </c:tx>
          <c:invertIfNegative val="1"/>
          <c:cat>
            <c:numRef>
              <c:f>'GTM International'!$K$23:$K$29</c:f>
              <c:numCache>
                <c:formatCode>#\ ##0;[Red]\(#\ ##0\);\-</c:formatCode>
                <c:ptCount val="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</c:numCache>
            </c:numRef>
          </c:cat>
          <c:val>
            <c:numRef>
              <c:f>'GTM International'!$Q$23:$Q$29</c:f>
              <c:numCache>
                <c:formatCode>#\ ##0;[Red]\(#\ ##0\);\-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264</c:v>
                </c:pt>
                <c:pt idx="5">
                  <c:v>490.00000000000006</c:v>
                </c:pt>
                <c:pt idx="6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3C-D341-B756-2558D2638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;[Red]\(#\ ##0\);\-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;[Red]\(#\ 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5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9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9</xdr:col>
      <xdr:colOff>0</xdr:colOff>
      <xdr:row>49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pane ySplit="4" topLeftCell="A19" activePane="bottomLeft" state="frozen"/>
      <selection pane="bottomLeft" activeCell="A36" sqref="A36"/>
    </sheetView>
  </sheetViews>
  <sheetFormatPr baseColWidth="10" defaultColWidth="8.83203125" defaultRowHeight="15"/>
  <cols>
    <col min="1" max="1" width="34" customWidth="1"/>
    <col min="2" max="2" width="20" customWidth="1"/>
    <col min="3" max="4" width="14" customWidth="1"/>
    <col min="5" max="5" width="45" customWidth="1"/>
    <col min="6" max="9" width="14" customWidth="1"/>
  </cols>
  <sheetData>
    <row r="1" spans="1:26" ht="30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0" customHeight="1">
      <c r="A2" s="46" t="s">
        <v>1</v>
      </c>
      <c r="B2" s="46" t="s">
        <v>1</v>
      </c>
      <c r="C2" s="46" t="s">
        <v>1</v>
      </c>
      <c r="D2" s="46" t="s">
        <v>1</v>
      </c>
      <c r="E2" s="46" t="s">
        <v>1</v>
      </c>
      <c r="F2" s="46" t="s">
        <v>1</v>
      </c>
      <c r="G2" s="46" t="s">
        <v>1</v>
      </c>
      <c r="H2" s="46" t="s">
        <v>1</v>
      </c>
      <c r="I2" s="46" t="s">
        <v>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0" customHeight="1">
      <c r="A3" s="47" t="s">
        <v>2</v>
      </c>
      <c r="B3" s="47" t="s">
        <v>2</v>
      </c>
      <c r="C3" s="47" t="s">
        <v>2</v>
      </c>
      <c r="D3" s="47" t="s">
        <v>2</v>
      </c>
      <c r="E3" s="47" t="s">
        <v>2</v>
      </c>
      <c r="F3" s="47" t="s">
        <v>2</v>
      </c>
      <c r="G3" s="47" t="s">
        <v>2</v>
      </c>
      <c r="H3" s="47" t="s">
        <v>2</v>
      </c>
      <c r="I3" s="47" t="s">
        <v>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4"/>
      <c r="G4" s="4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2">
      <c r="A5" s="4" t="s">
        <v>8</v>
      </c>
      <c r="B5" s="9">
        <v>0.25</v>
      </c>
      <c r="C5" s="4" t="s">
        <v>9</v>
      </c>
      <c r="D5" s="4" t="s">
        <v>10</v>
      </c>
      <c r="E5" s="4" t="s">
        <v>11</v>
      </c>
      <c r="F5" s="4"/>
      <c r="G5" s="4"/>
      <c r="H5" s="4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2">
      <c r="A6" s="4" t="s">
        <v>12</v>
      </c>
      <c r="B6" s="10">
        <v>45</v>
      </c>
      <c r="C6" s="4" t="s">
        <v>13</v>
      </c>
      <c r="D6" s="4" t="s">
        <v>14</v>
      </c>
      <c r="E6" s="4" t="s">
        <v>15</v>
      </c>
      <c r="F6" s="4"/>
      <c r="G6" s="4"/>
      <c r="H6" s="4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2">
      <c r="A7" s="4" t="s">
        <v>16</v>
      </c>
      <c r="B7" s="10">
        <v>60</v>
      </c>
      <c r="C7" s="4" t="s">
        <v>17</v>
      </c>
      <c r="D7" s="4" t="s">
        <v>14</v>
      </c>
      <c r="E7" s="4" t="s">
        <v>18</v>
      </c>
      <c r="F7" s="4"/>
      <c r="G7" s="4"/>
      <c r="H7" s="4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2">
      <c r="A8" s="4" t="s">
        <v>19</v>
      </c>
      <c r="B8" s="10">
        <v>45</v>
      </c>
      <c r="C8" s="4" t="s">
        <v>13</v>
      </c>
      <c r="D8" s="4" t="s">
        <v>14</v>
      </c>
      <c r="E8" s="4" t="s">
        <v>20</v>
      </c>
      <c r="F8" s="4"/>
      <c r="G8" s="4"/>
      <c r="H8" s="4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2">
      <c r="A9" s="4" t="s">
        <v>21</v>
      </c>
      <c r="B9" s="9">
        <v>0.03</v>
      </c>
      <c r="C9" s="4" t="s">
        <v>22</v>
      </c>
      <c r="D9" s="4" t="s">
        <v>14</v>
      </c>
      <c r="E9" s="4" t="s">
        <v>23</v>
      </c>
      <c r="F9" s="4"/>
      <c r="G9" s="4"/>
      <c r="H9" s="4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2">
      <c r="A10" s="4" t="s">
        <v>24</v>
      </c>
      <c r="B10" s="9">
        <v>0.55000000000000004</v>
      </c>
      <c r="C10" s="4" t="s">
        <v>9</v>
      </c>
      <c r="D10" s="4" t="s">
        <v>14</v>
      </c>
      <c r="E10" s="4" t="s">
        <v>25</v>
      </c>
      <c r="F10" s="4"/>
      <c r="G10" s="4"/>
      <c r="H10" s="4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2">
      <c r="A11" s="4" t="s">
        <v>26</v>
      </c>
      <c r="B11" s="9">
        <v>0.85</v>
      </c>
      <c r="C11" s="4" t="s">
        <v>9</v>
      </c>
      <c r="D11" s="4" t="s">
        <v>14</v>
      </c>
      <c r="E11" s="4" t="s">
        <v>27</v>
      </c>
      <c r="F11" s="4"/>
      <c r="G11" s="4"/>
      <c r="H11" s="4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2">
      <c r="A12" s="4" t="s">
        <v>28</v>
      </c>
      <c r="B12" s="11">
        <v>250000</v>
      </c>
      <c r="C12" s="4" t="s">
        <v>29</v>
      </c>
      <c r="D12" s="4" t="s">
        <v>14</v>
      </c>
      <c r="E12" s="4" t="s">
        <v>30</v>
      </c>
      <c r="F12" s="4"/>
      <c r="G12" s="4"/>
      <c r="H12" s="4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2">
      <c r="A13" s="4" t="s">
        <v>31</v>
      </c>
      <c r="B13" s="10">
        <v>5</v>
      </c>
      <c r="C13" s="4" t="s">
        <v>32</v>
      </c>
      <c r="D13" s="4" t="s">
        <v>33</v>
      </c>
      <c r="E13" s="4" t="s">
        <v>34</v>
      </c>
      <c r="F13" s="4"/>
      <c r="G13" s="4"/>
      <c r="H13" s="4"/>
      <c r="I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0" customHeight="1">
      <c r="A15" s="47" t="s">
        <v>35</v>
      </c>
      <c r="B15" s="47" t="s">
        <v>35</v>
      </c>
      <c r="C15" s="47" t="s">
        <v>35</v>
      </c>
      <c r="D15" s="47" t="s">
        <v>35</v>
      </c>
      <c r="E15" s="47" t="s">
        <v>35</v>
      </c>
      <c r="F15" s="47" t="s">
        <v>35</v>
      </c>
      <c r="G15" s="47" t="s">
        <v>35</v>
      </c>
      <c r="H15" s="47" t="s">
        <v>35</v>
      </c>
      <c r="I15" s="47" t="s">
        <v>35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6">
      <c r="A16" s="2" t="s">
        <v>3</v>
      </c>
      <c r="B16" s="2" t="s">
        <v>4</v>
      </c>
      <c r="C16" s="2" t="s">
        <v>5</v>
      </c>
      <c r="D16" s="2" t="s">
        <v>6</v>
      </c>
      <c r="E16" s="2" t="s">
        <v>7</v>
      </c>
      <c r="F16" s="4"/>
      <c r="G16" s="4"/>
      <c r="H16" s="4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2">
      <c r="A17" s="4" t="s">
        <v>36</v>
      </c>
      <c r="B17" s="10">
        <v>1500</v>
      </c>
      <c r="C17" s="4" t="s">
        <v>37</v>
      </c>
      <c r="D17" s="4" t="s">
        <v>10</v>
      </c>
      <c r="E17" s="4" t="s">
        <v>38</v>
      </c>
      <c r="F17" s="4"/>
      <c r="G17" s="4"/>
      <c r="H17" s="4"/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48">
      <c r="A18" s="4" t="s">
        <v>39</v>
      </c>
      <c r="B18" s="11">
        <v>1.5</v>
      </c>
      <c r="C18" s="4" t="s">
        <v>40</v>
      </c>
      <c r="D18" s="4" t="s">
        <v>41</v>
      </c>
      <c r="E18" s="4" t="s">
        <v>42</v>
      </c>
      <c r="F18" s="4"/>
      <c r="G18" s="4"/>
      <c r="H18" s="4"/>
      <c r="I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2">
      <c r="A19" s="4" t="s">
        <v>43</v>
      </c>
      <c r="B19" s="11">
        <v>250</v>
      </c>
      <c r="C19" s="4" t="s">
        <v>44</v>
      </c>
      <c r="D19" s="4" t="s">
        <v>14</v>
      </c>
      <c r="E19" s="4" t="s">
        <v>45</v>
      </c>
      <c r="F19" s="4"/>
      <c r="G19" s="4"/>
      <c r="H19" s="4"/>
      <c r="I19" s="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2">
      <c r="A20" s="4" t="s">
        <v>46</v>
      </c>
      <c r="B20" s="12">
        <v>3.1</v>
      </c>
      <c r="C20" s="4" t="s">
        <v>47</v>
      </c>
      <c r="D20" s="4" t="s">
        <v>10</v>
      </c>
      <c r="E20" s="4" t="s">
        <v>48</v>
      </c>
      <c r="F20" s="4"/>
      <c r="G20" s="4"/>
      <c r="H20" s="4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2">
      <c r="A21" s="4" t="s">
        <v>49</v>
      </c>
      <c r="B21" s="12">
        <v>5</v>
      </c>
      <c r="C21" s="4" t="s">
        <v>32</v>
      </c>
      <c r="D21" s="4" t="s">
        <v>50</v>
      </c>
      <c r="E21" s="4" t="s">
        <v>51</v>
      </c>
      <c r="F21" s="4"/>
      <c r="G21" s="4"/>
      <c r="H21" s="4"/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0" customHeight="1">
      <c r="A23" s="47" t="s">
        <v>52</v>
      </c>
      <c r="B23" s="47" t="s">
        <v>52</v>
      </c>
      <c r="C23" s="47" t="s">
        <v>52</v>
      </c>
      <c r="D23" s="47" t="s">
        <v>52</v>
      </c>
      <c r="E23" s="47" t="s">
        <v>52</v>
      </c>
      <c r="F23" s="47" t="s">
        <v>52</v>
      </c>
      <c r="G23" s="47" t="s">
        <v>52</v>
      </c>
      <c r="H23" s="47" t="s">
        <v>52</v>
      </c>
      <c r="I23" s="47" t="s">
        <v>52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">
      <c r="A24" s="2" t="s">
        <v>3</v>
      </c>
      <c r="B24" s="2" t="s">
        <v>5</v>
      </c>
      <c r="C24" s="2">
        <v>2027</v>
      </c>
      <c r="D24" s="2">
        <v>2028</v>
      </c>
      <c r="E24" s="2">
        <v>2029</v>
      </c>
      <c r="F24" s="2">
        <v>2030</v>
      </c>
      <c r="G24" s="2">
        <v>2031</v>
      </c>
      <c r="H24" s="2">
        <v>2032</v>
      </c>
      <c r="I24" s="2">
        <v>2033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">
      <c r="A25" s="4" t="s">
        <v>53</v>
      </c>
      <c r="B25" s="4" t="s">
        <v>54</v>
      </c>
      <c r="C25" s="13">
        <v>3</v>
      </c>
      <c r="D25" s="13">
        <v>10</v>
      </c>
      <c r="E25" s="13">
        <v>25</v>
      </c>
      <c r="F25" s="13">
        <v>50</v>
      </c>
      <c r="G25" s="13">
        <v>90</v>
      </c>
      <c r="H25" s="13">
        <v>140</v>
      </c>
      <c r="I25" s="13">
        <v>200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">
      <c r="A26" s="4" t="s">
        <v>55</v>
      </c>
      <c r="B26" s="4" t="s">
        <v>56</v>
      </c>
      <c r="C26" s="13">
        <v>5</v>
      </c>
      <c r="D26" s="13">
        <v>12</v>
      </c>
      <c r="E26" s="13">
        <v>18</v>
      </c>
      <c r="F26" s="13">
        <v>22</v>
      </c>
      <c r="G26" s="13">
        <v>24.444444444399998</v>
      </c>
      <c r="H26" s="13">
        <v>25</v>
      </c>
      <c r="I26" s="13">
        <v>25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">
      <c r="A27" s="4" t="s">
        <v>57</v>
      </c>
      <c r="B27" s="4" t="s">
        <v>58</v>
      </c>
      <c r="C27" s="11">
        <v>8000</v>
      </c>
      <c r="D27" s="11">
        <v>10500</v>
      </c>
      <c r="E27" s="11">
        <v>10300</v>
      </c>
      <c r="F27" s="11">
        <v>10100</v>
      </c>
      <c r="G27" s="11">
        <v>9900</v>
      </c>
      <c r="H27" s="11">
        <v>9700</v>
      </c>
      <c r="I27" s="11">
        <v>9500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">
      <c r="A28" s="4" t="s">
        <v>59</v>
      </c>
      <c r="B28" s="4" t="s">
        <v>58</v>
      </c>
      <c r="C28" s="11">
        <v>8500</v>
      </c>
      <c r="D28" s="11">
        <v>6500</v>
      </c>
      <c r="E28" s="11">
        <v>6100</v>
      </c>
      <c r="F28" s="11">
        <v>5700</v>
      </c>
      <c r="G28" s="11">
        <v>5400</v>
      </c>
      <c r="H28" s="11">
        <v>5100</v>
      </c>
      <c r="I28" s="11">
        <v>4900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2">
      <c r="A29" s="4" t="s">
        <v>60</v>
      </c>
      <c r="B29" s="4" t="s">
        <v>9</v>
      </c>
      <c r="C29" s="14">
        <v>0</v>
      </c>
      <c r="D29" s="14">
        <v>0.75</v>
      </c>
      <c r="E29" s="14">
        <v>0.8</v>
      </c>
      <c r="F29" s="14">
        <v>0.82</v>
      </c>
      <c r="G29" s="14">
        <v>0.84</v>
      </c>
      <c r="H29" s="14">
        <v>0.85</v>
      </c>
      <c r="I29" s="14">
        <v>0.86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">
      <c r="A30" s="4" t="s">
        <v>61</v>
      </c>
      <c r="B30" s="4" t="s">
        <v>62</v>
      </c>
      <c r="C30" s="15">
        <v>0</v>
      </c>
      <c r="D30" s="15">
        <v>360</v>
      </c>
      <c r="E30" s="15">
        <v>360</v>
      </c>
      <c r="F30" s="15">
        <v>370</v>
      </c>
      <c r="G30" s="15">
        <v>380</v>
      </c>
      <c r="H30" s="15">
        <v>390</v>
      </c>
      <c r="I30" s="15">
        <v>400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">
      <c r="A31" s="4" t="s">
        <v>63</v>
      </c>
      <c r="B31" s="4" t="s">
        <v>44</v>
      </c>
      <c r="C31" s="15">
        <v>0</v>
      </c>
      <c r="D31" s="15">
        <v>50000</v>
      </c>
      <c r="E31" s="15">
        <v>150000</v>
      </c>
      <c r="F31" s="15">
        <v>300000</v>
      </c>
      <c r="G31" s="15">
        <v>500000</v>
      </c>
      <c r="H31" s="15">
        <v>700000</v>
      </c>
      <c r="I31" s="15">
        <v>900000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">
      <c r="A32" s="4" t="s">
        <v>64</v>
      </c>
      <c r="B32" s="4" t="s">
        <v>65</v>
      </c>
      <c r="C32" s="10">
        <v>5</v>
      </c>
      <c r="D32" s="10">
        <v>8</v>
      </c>
      <c r="E32" s="10">
        <v>13</v>
      </c>
      <c r="F32" s="10">
        <v>22</v>
      </c>
      <c r="G32" s="10">
        <v>35</v>
      </c>
      <c r="H32" s="10">
        <v>50</v>
      </c>
      <c r="I32" s="10">
        <v>65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">
      <c r="A33" s="4" t="s">
        <v>66</v>
      </c>
      <c r="B33" s="4" t="s">
        <v>67</v>
      </c>
      <c r="C33" s="15">
        <v>75000</v>
      </c>
      <c r="D33" s="15">
        <v>78000</v>
      </c>
      <c r="E33" s="15">
        <v>80000</v>
      </c>
      <c r="F33" s="15">
        <v>82000</v>
      </c>
      <c r="G33" s="15">
        <v>84000</v>
      </c>
      <c r="H33" s="15">
        <v>86000</v>
      </c>
      <c r="I33" s="15">
        <v>88000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">
      <c r="A34" s="4" t="s">
        <v>68</v>
      </c>
      <c r="B34" s="4" t="s">
        <v>44</v>
      </c>
      <c r="C34" s="11">
        <v>500000</v>
      </c>
      <c r="D34" s="11">
        <v>700000</v>
      </c>
      <c r="E34" s="11">
        <v>800000</v>
      </c>
      <c r="F34" s="11">
        <v>900000</v>
      </c>
      <c r="G34" s="11">
        <v>1000000</v>
      </c>
      <c r="H34" s="11">
        <v>1200000</v>
      </c>
      <c r="I34" s="11">
        <v>1400000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2">
      <c r="A35" s="4" t="s">
        <v>69</v>
      </c>
      <c r="B35" s="4" t="s">
        <v>44</v>
      </c>
      <c r="C35" s="15">
        <v>75000</v>
      </c>
      <c r="D35" s="15">
        <v>250000</v>
      </c>
      <c r="E35" s="15">
        <v>600000</v>
      </c>
      <c r="F35" s="15">
        <v>1100000</v>
      </c>
      <c r="G35" s="15">
        <v>1800000</v>
      </c>
      <c r="H35" s="15">
        <v>2600000</v>
      </c>
      <c r="I35" s="15">
        <v>3400000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">
      <c r="A36" s="4" t="s">
        <v>534</v>
      </c>
      <c r="B36" s="4" t="s">
        <v>44</v>
      </c>
      <c r="C36" s="15">
        <v>150000</v>
      </c>
      <c r="D36" s="15">
        <v>250000</v>
      </c>
      <c r="E36" s="15">
        <v>350000</v>
      </c>
      <c r="F36" s="15">
        <v>500000</v>
      </c>
      <c r="G36" s="15">
        <v>700000</v>
      </c>
      <c r="H36" s="15">
        <v>900000</v>
      </c>
      <c r="I36" s="15">
        <v>1100000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">
      <c r="A37" s="4" t="s">
        <v>71</v>
      </c>
      <c r="B37" s="4" t="s">
        <v>44</v>
      </c>
      <c r="C37" s="11">
        <v>350000</v>
      </c>
      <c r="D37" s="11">
        <v>450000</v>
      </c>
      <c r="E37" s="11">
        <v>600000</v>
      </c>
      <c r="F37" s="11">
        <v>800000</v>
      </c>
      <c r="G37" s="11">
        <v>1000000</v>
      </c>
      <c r="H37" s="11">
        <v>1200000</v>
      </c>
      <c r="I37" s="11">
        <v>1400000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">
      <c r="A38" s="4" t="s">
        <v>72</v>
      </c>
      <c r="B38" s="4" t="s">
        <v>44</v>
      </c>
      <c r="C38" s="11">
        <v>2000000</v>
      </c>
      <c r="D38" s="11">
        <v>2500000</v>
      </c>
      <c r="E38" s="11">
        <v>1500000</v>
      </c>
      <c r="F38" s="11">
        <v>0</v>
      </c>
      <c r="G38" s="11">
        <v>0</v>
      </c>
      <c r="H38" s="11">
        <v>0</v>
      </c>
      <c r="I38" s="11">
        <v>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5">
    <mergeCell ref="A1:I1"/>
    <mergeCell ref="A2:I2"/>
    <mergeCell ref="A3:I3"/>
    <mergeCell ref="A15:I15"/>
    <mergeCell ref="A23:I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/>
  <cols>
    <col min="1" max="1" width="34" customWidth="1"/>
    <col min="2" max="2" width="18" customWidth="1"/>
    <col min="3" max="9" width="14" customWidth="1"/>
  </cols>
  <sheetData>
    <row r="1" spans="1:26" ht="30" customHeight="1">
      <c r="A1" s="48" t="s">
        <v>73</v>
      </c>
      <c r="B1" s="49"/>
      <c r="C1" s="49"/>
      <c r="D1" s="49"/>
      <c r="E1" s="49"/>
      <c r="F1" s="49"/>
      <c r="G1" s="49"/>
      <c r="H1" s="49"/>
      <c r="I1" s="49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0" customHeight="1">
      <c r="A2" s="50" t="s">
        <v>74</v>
      </c>
      <c r="B2" s="50" t="s">
        <v>74</v>
      </c>
      <c r="C2" s="50" t="s">
        <v>74</v>
      </c>
      <c r="D2" s="50" t="s">
        <v>74</v>
      </c>
      <c r="E2" s="50" t="s">
        <v>74</v>
      </c>
      <c r="F2" s="50" t="s">
        <v>74</v>
      </c>
      <c r="G2" s="50" t="s">
        <v>74</v>
      </c>
      <c r="H2" s="50" t="s">
        <v>74</v>
      </c>
      <c r="I2" s="50" t="s">
        <v>74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0" customHeight="1">
      <c r="A3" s="51" t="s">
        <v>75</v>
      </c>
      <c r="B3" s="51" t="s">
        <v>75</v>
      </c>
      <c r="C3" s="51" t="s">
        <v>75</v>
      </c>
      <c r="D3" s="51" t="s">
        <v>75</v>
      </c>
      <c r="E3" s="51" t="s">
        <v>75</v>
      </c>
      <c r="F3" s="51" t="s">
        <v>75</v>
      </c>
      <c r="G3" s="51" t="s">
        <v>75</v>
      </c>
      <c r="H3" s="51" t="s">
        <v>75</v>
      </c>
      <c r="I3" s="51" t="s">
        <v>75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1" t="s">
        <v>76</v>
      </c>
      <c r="B4" s="1" t="s">
        <v>5</v>
      </c>
      <c r="C4" s="1">
        <v>2027</v>
      </c>
      <c r="D4" s="1">
        <v>2028</v>
      </c>
      <c r="E4" s="1">
        <v>2029</v>
      </c>
      <c r="F4" s="1">
        <v>2030</v>
      </c>
      <c r="G4" s="1">
        <v>2031</v>
      </c>
      <c r="H4" s="1">
        <v>2032</v>
      </c>
      <c r="I4" s="1">
        <v>2033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53</v>
      </c>
      <c r="B5" s="5" t="s">
        <v>54</v>
      </c>
      <c r="C5" s="16">
        <f>Hypothèses!C25</f>
        <v>3</v>
      </c>
      <c r="D5" s="16">
        <f>Hypothèses!D25</f>
        <v>10</v>
      </c>
      <c r="E5" s="16">
        <f>Hypothèses!E25</f>
        <v>25</v>
      </c>
      <c r="F5" s="16">
        <f>Hypothèses!F25</f>
        <v>50</v>
      </c>
      <c r="G5" s="16">
        <f>Hypothèses!G25</f>
        <v>90</v>
      </c>
      <c r="H5" s="16">
        <f>Hypothèses!H25</f>
        <v>140</v>
      </c>
      <c r="I5" s="16">
        <f>Hypothèses!I25</f>
        <v>200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55</v>
      </c>
      <c r="B6" s="5" t="s">
        <v>56</v>
      </c>
      <c r="C6" s="16">
        <f>Hypothèses!C26</f>
        <v>5</v>
      </c>
      <c r="D6" s="16">
        <f>Hypothèses!D26</f>
        <v>12</v>
      </c>
      <c r="E6" s="16">
        <f>Hypothèses!E26</f>
        <v>18</v>
      </c>
      <c r="F6" s="16">
        <f>Hypothèses!F26</f>
        <v>22</v>
      </c>
      <c r="G6" s="16">
        <f>Hypothèses!G26</f>
        <v>24.444444444399998</v>
      </c>
      <c r="H6" s="16">
        <f>Hypothèses!H26</f>
        <v>25</v>
      </c>
      <c r="I6" s="16">
        <f>Hypothèses!I26</f>
        <v>25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 t="s">
        <v>77</v>
      </c>
      <c r="B7" s="5" t="s">
        <v>56</v>
      </c>
      <c r="C7" s="17">
        <f t="shared" ref="C7:I7" si="0">ROUND(C5*C6,0)</f>
        <v>15</v>
      </c>
      <c r="D7" s="17">
        <f t="shared" si="0"/>
        <v>120</v>
      </c>
      <c r="E7" s="17">
        <f t="shared" si="0"/>
        <v>450</v>
      </c>
      <c r="F7" s="17">
        <f t="shared" si="0"/>
        <v>1100</v>
      </c>
      <c r="G7" s="17">
        <f t="shared" si="0"/>
        <v>2200</v>
      </c>
      <c r="H7" s="17">
        <f t="shared" si="0"/>
        <v>3500</v>
      </c>
      <c r="I7" s="17">
        <f t="shared" si="0"/>
        <v>5000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 t="s">
        <v>78</v>
      </c>
      <c r="B8" s="5" t="s">
        <v>58</v>
      </c>
      <c r="C8" s="18">
        <f>Hypothèses!C27</f>
        <v>8000</v>
      </c>
      <c r="D8" s="18">
        <f>Hypothèses!D27</f>
        <v>10500</v>
      </c>
      <c r="E8" s="18">
        <f>Hypothèses!E27</f>
        <v>10300</v>
      </c>
      <c r="F8" s="18">
        <f>Hypothèses!F27</f>
        <v>10100</v>
      </c>
      <c r="G8" s="18">
        <f>Hypothèses!G27</f>
        <v>9900</v>
      </c>
      <c r="H8" s="18">
        <f>Hypothèses!H27</f>
        <v>9700</v>
      </c>
      <c r="I8" s="18">
        <f>Hypothèses!I27</f>
        <v>9500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 t="s">
        <v>79</v>
      </c>
      <c r="B9" s="5" t="s">
        <v>29</v>
      </c>
      <c r="C9" s="19">
        <f t="shared" ref="C9:I9" si="1">C7*C8</f>
        <v>120000</v>
      </c>
      <c r="D9" s="19">
        <f t="shared" si="1"/>
        <v>1260000</v>
      </c>
      <c r="E9" s="19">
        <f t="shared" si="1"/>
        <v>4635000</v>
      </c>
      <c r="F9" s="19">
        <f t="shared" si="1"/>
        <v>11110000</v>
      </c>
      <c r="G9" s="19">
        <f t="shared" si="1"/>
        <v>21780000</v>
      </c>
      <c r="H9" s="19">
        <f t="shared" si="1"/>
        <v>33950000</v>
      </c>
      <c r="I9" s="19">
        <f t="shared" si="1"/>
        <v>47500000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 t="s">
        <v>80</v>
      </c>
      <c r="B10" s="5" t="s">
        <v>56</v>
      </c>
      <c r="C10" s="17">
        <f>0</f>
        <v>0</v>
      </c>
      <c r="D10" s="17">
        <f t="shared" ref="D10:I10" si="2">C12</f>
        <v>15</v>
      </c>
      <c r="E10" s="17">
        <f t="shared" si="2"/>
        <v>134.55000000000001</v>
      </c>
      <c r="F10" s="17">
        <f t="shared" si="2"/>
        <v>580.51350000000002</v>
      </c>
      <c r="G10" s="17">
        <f t="shared" si="2"/>
        <v>1663.0980950000001</v>
      </c>
      <c r="H10" s="17">
        <f t="shared" si="2"/>
        <v>3813.2051521499998</v>
      </c>
      <c r="I10" s="17">
        <f t="shared" si="2"/>
        <v>7198.8089975855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 t="s">
        <v>81</v>
      </c>
      <c r="B11" s="5" t="s">
        <v>56</v>
      </c>
      <c r="C11" s="17">
        <f>C10*Hypothèses!$B$9</f>
        <v>0</v>
      </c>
      <c r="D11" s="17">
        <f>D10*Hypothèses!$B$9</f>
        <v>0.44999999999999996</v>
      </c>
      <c r="E11" s="17">
        <f>E10*Hypothèses!$B$9</f>
        <v>4.0365000000000002</v>
      </c>
      <c r="F11" s="17">
        <f>F10*Hypothèses!$B$9</f>
        <v>17.415405</v>
      </c>
      <c r="G11" s="17">
        <f>G10*Hypothèses!$B$9</f>
        <v>49.892942849999997</v>
      </c>
      <c r="H11" s="17">
        <f>H10*Hypothèses!$B$9</f>
        <v>114.39615456449999</v>
      </c>
      <c r="I11" s="17">
        <f>I10*Hypothèses!$B$9</f>
        <v>215.964269927565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 t="s">
        <v>82</v>
      </c>
      <c r="B12" s="5" t="s">
        <v>56</v>
      </c>
      <c r="C12" s="17">
        <f t="shared" ref="C12:I12" si="3">C10-C11+C7</f>
        <v>15</v>
      </c>
      <c r="D12" s="17">
        <f t="shared" si="3"/>
        <v>134.55000000000001</v>
      </c>
      <c r="E12" s="17">
        <f t="shared" si="3"/>
        <v>580.51350000000002</v>
      </c>
      <c r="F12" s="17">
        <f t="shared" si="3"/>
        <v>1663.0980950000001</v>
      </c>
      <c r="G12" s="17">
        <f t="shared" si="3"/>
        <v>3813.2051521499998</v>
      </c>
      <c r="H12" s="17">
        <f t="shared" si="3"/>
        <v>7198.8089975855</v>
      </c>
      <c r="I12" s="17">
        <f t="shared" si="3"/>
        <v>11982.844727657935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 t="s">
        <v>83</v>
      </c>
      <c r="B13" s="5" t="s">
        <v>56</v>
      </c>
      <c r="C13" s="17">
        <f t="shared" ref="C13:I13" si="4">(C10+C12)/2</f>
        <v>7.5</v>
      </c>
      <c r="D13" s="17">
        <f t="shared" si="4"/>
        <v>74.775000000000006</v>
      </c>
      <c r="E13" s="17">
        <f t="shared" si="4"/>
        <v>357.53174999999999</v>
      </c>
      <c r="F13" s="17">
        <f t="shared" si="4"/>
        <v>1121.8057975000002</v>
      </c>
      <c r="G13" s="17">
        <f t="shared" si="4"/>
        <v>2738.151623575</v>
      </c>
      <c r="H13" s="17">
        <f t="shared" si="4"/>
        <v>5506.0070748677499</v>
      </c>
      <c r="I13" s="17">
        <f t="shared" si="4"/>
        <v>9590.8268626217177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 t="s">
        <v>84</v>
      </c>
      <c r="B14" s="5" t="s">
        <v>9</v>
      </c>
      <c r="C14" s="20">
        <f>Hypothèses!C29</f>
        <v>0</v>
      </c>
      <c r="D14" s="20">
        <f>Hypothèses!D29</f>
        <v>0.75</v>
      </c>
      <c r="E14" s="20">
        <f>Hypothèses!E29</f>
        <v>0.8</v>
      </c>
      <c r="F14" s="20">
        <f>Hypothèses!F29</f>
        <v>0.82</v>
      </c>
      <c r="G14" s="20">
        <f>Hypothèses!G29</f>
        <v>0.84</v>
      </c>
      <c r="H14" s="20">
        <f>Hypothèses!H29</f>
        <v>0.85</v>
      </c>
      <c r="I14" s="20">
        <f>Hypothèses!I29</f>
        <v>0.86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 t="s">
        <v>85</v>
      </c>
      <c r="B15" s="5" t="s">
        <v>58</v>
      </c>
      <c r="C15" s="18">
        <f>Hypothèses!C30</f>
        <v>0</v>
      </c>
      <c r="D15" s="18">
        <f>Hypothèses!D30</f>
        <v>360</v>
      </c>
      <c r="E15" s="18">
        <f>Hypothèses!E30</f>
        <v>360</v>
      </c>
      <c r="F15" s="18">
        <f>Hypothèses!F30</f>
        <v>370</v>
      </c>
      <c r="G15" s="18">
        <f>Hypothèses!G30</f>
        <v>380</v>
      </c>
      <c r="H15" s="18">
        <f>Hypothèses!H30</f>
        <v>390</v>
      </c>
      <c r="I15" s="18">
        <f>Hypothèses!I30</f>
        <v>400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 t="s">
        <v>86</v>
      </c>
      <c r="B16" s="5" t="s">
        <v>29</v>
      </c>
      <c r="C16" s="19">
        <f t="shared" ref="C16:I16" si="5">C13*C14*C15</f>
        <v>0</v>
      </c>
      <c r="D16" s="19">
        <f t="shared" si="5"/>
        <v>20189.25</v>
      </c>
      <c r="E16" s="19">
        <f t="shared" si="5"/>
        <v>102969.144</v>
      </c>
      <c r="F16" s="19">
        <f t="shared" si="5"/>
        <v>340355.87896150001</v>
      </c>
      <c r="G16" s="19">
        <f t="shared" si="5"/>
        <v>874017.99824513996</v>
      </c>
      <c r="H16" s="19">
        <f t="shared" si="5"/>
        <v>1825241.345318659</v>
      </c>
      <c r="I16" s="19">
        <f t="shared" si="5"/>
        <v>3299244.4407418706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 t="s">
        <v>87</v>
      </c>
      <c r="B17" s="5" t="s">
        <v>29</v>
      </c>
      <c r="C17" s="18">
        <f>Hypothèses!C31</f>
        <v>0</v>
      </c>
      <c r="D17" s="18">
        <f>Hypothèses!D31</f>
        <v>50000</v>
      </c>
      <c r="E17" s="18">
        <f>Hypothèses!E31</f>
        <v>150000</v>
      </c>
      <c r="F17" s="18">
        <f>Hypothèses!F31</f>
        <v>300000</v>
      </c>
      <c r="G17" s="18">
        <f>Hypothèses!G31</f>
        <v>500000</v>
      </c>
      <c r="H17" s="18">
        <f>Hypothèses!H31</f>
        <v>700000</v>
      </c>
      <c r="I17" s="18">
        <f>Hypothèses!I31</f>
        <v>900000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21" t="s">
        <v>88</v>
      </c>
      <c r="B18" s="21" t="s">
        <v>29</v>
      </c>
      <c r="C18" s="22">
        <f t="shared" ref="C18:I18" si="6">SUM(C9,C16,C17)</f>
        <v>120000</v>
      </c>
      <c r="D18" s="22">
        <f t="shared" si="6"/>
        <v>1330189.25</v>
      </c>
      <c r="E18" s="22">
        <f t="shared" si="6"/>
        <v>4887969.1440000003</v>
      </c>
      <c r="F18" s="22">
        <f t="shared" si="6"/>
        <v>11750355.8789615</v>
      </c>
      <c r="G18" s="22">
        <f t="shared" si="6"/>
        <v>23154017.998245139</v>
      </c>
      <c r="H18" s="22">
        <f t="shared" si="6"/>
        <v>36475241.34531866</v>
      </c>
      <c r="I18" s="22">
        <f t="shared" si="6"/>
        <v>51699244.440741867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baseColWidth="10" defaultColWidth="8.83203125" defaultRowHeight="15"/>
  <cols>
    <col min="1" max="1" width="34" customWidth="1"/>
    <col min="2" max="3" width="18" customWidth="1"/>
  </cols>
  <sheetData>
    <row r="1" spans="1:26" ht="40" customHeight="1">
      <c r="A1" s="48" t="s">
        <v>89</v>
      </c>
      <c r="B1" s="49"/>
      <c r="C1" s="49"/>
      <c r="D1" s="49"/>
      <c r="E1" s="49"/>
      <c r="F1" s="49"/>
      <c r="G1" s="49"/>
      <c r="H1" s="49"/>
      <c r="I1" s="49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6.75" customHeight="1">
      <c r="A2" s="50" t="s">
        <v>90</v>
      </c>
      <c r="B2" s="50" t="s">
        <v>90</v>
      </c>
      <c r="C2" s="50" t="s">
        <v>90</v>
      </c>
      <c r="D2" s="50" t="s">
        <v>90</v>
      </c>
      <c r="E2" s="50" t="s">
        <v>90</v>
      </c>
      <c r="F2" s="50" t="s">
        <v>90</v>
      </c>
      <c r="G2" s="50" t="s">
        <v>90</v>
      </c>
      <c r="H2" s="50" t="s">
        <v>90</v>
      </c>
      <c r="I2" s="50" t="s">
        <v>90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6.75" customHeight="1">
      <c r="A3" s="51" t="s">
        <v>91</v>
      </c>
      <c r="B3" s="51" t="s">
        <v>91</v>
      </c>
      <c r="C3" s="51" t="s">
        <v>91</v>
      </c>
      <c r="D3" s="51" t="s">
        <v>91</v>
      </c>
      <c r="E3" s="51" t="s">
        <v>91</v>
      </c>
      <c r="F3" s="51" t="s">
        <v>91</v>
      </c>
      <c r="G3" s="51" t="s">
        <v>91</v>
      </c>
      <c r="H3" s="51" t="s">
        <v>91</v>
      </c>
      <c r="I3" s="51" t="s">
        <v>91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1" t="s">
        <v>76</v>
      </c>
      <c r="B4" s="1" t="s">
        <v>5</v>
      </c>
      <c r="C4" s="1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92</v>
      </c>
      <c r="B5" s="5" t="s">
        <v>29</v>
      </c>
      <c r="C5" s="18">
        <f>Hypothèses!D27</f>
        <v>10500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93</v>
      </c>
      <c r="B6" s="5" t="s">
        <v>37</v>
      </c>
      <c r="C6" s="16">
        <f>Hypothèses!$B$17</f>
        <v>1500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 t="s">
        <v>94</v>
      </c>
      <c r="B7" s="5" t="s">
        <v>40</v>
      </c>
      <c r="C7" s="18">
        <f>Hypothèses!$B$18</f>
        <v>1.5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 t="s">
        <v>95</v>
      </c>
      <c r="B8" s="5" t="s">
        <v>44</v>
      </c>
      <c r="C8" s="18">
        <f>C6*C7</f>
        <v>2250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 t="s">
        <v>43</v>
      </c>
      <c r="B9" s="5" t="s">
        <v>44</v>
      </c>
      <c r="C9" s="18">
        <f>Hypothèses!$B$19</f>
        <v>250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 t="s">
        <v>96</v>
      </c>
      <c r="B10" s="5" t="s">
        <v>44</v>
      </c>
      <c r="C10" s="23">
        <f>SUM(C8,C9)</f>
        <v>2500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 t="s">
        <v>97</v>
      </c>
      <c r="B11" s="5" t="s">
        <v>32</v>
      </c>
      <c r="C11" s="23">
        <f>C5/C10</f>
        <v>4.2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 t="s">
        <v>98</v>
      </c>
      <c r="B12" s="5" t="s">
        <v>99</v>
      </c>
      <c r="C12" s="18">
        <f>C6*Hypothèses!$B$20/1000</f>
        <v>4.6500000000000004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 t="s">
        <v>100</v>
      </c>
      <c r="B13" s="5" t="s">
        <v>29</v>
      </c>
      <c r="C13" s="24">
        <f>C10*10</f>
        <v>25000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 t="s">
        <v>101</v>
      </c>
      <c r="B14" s="5" t="s">
        <v>102</v>
      </c>
      <c r="C14" s="24">
        <f>C13/C5</f>
        <v>2.3809523809523809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6.75" customHeight="1">
      <c r="A16" s="51" t="s">
        <v>103</v>
      </c>
      <c r="B16" s="51" t="s">
        <v>103</v>
      </c>
      <c r="C16" s="51" t="s">
        <v>103</v>
      </c>
      <c r="D16" s="51" t="s">
        <v>103</v>
      </c>
      <c r="E16" s="51" t="s">
        <v>103</v>
      </c>
      <c r="F16" s="51" t="s">
        <v>103</v>
      </c>
      <c r="G16" s="51" t="s">
        <v>103</v>
      </c>
      <c r="H16" s="51" t="s">
        <v>103</v>
      </c>
      <c r="I16" s="51" t="s">
        <v>103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1" t="s">
        <v>76</v>
      </c>
      <c r="B17" s="1" t="s">
        <v>5</v>
      </c>
      <c r="C17" s="1" t="s">
        <v>104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 t="s">
        <v>78</v>
      </c>
      <c r="B18" s="5" t="s">
        <v>58</v>
      </c>
      <c r="C18" s="18">
        <f>Hypothèses!D27</f>
        <v>10500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 t="s">
        <v>105</v>
      </c>
      <c r="B19" s="5" t="s">
        <v>58</v>
      </c>
      <c r="C19" s="18">
        <f>Hypothèses!D28</f>
        <v>6500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 t="s">
        <v>106</v>
      </c>
      <c r="B20" s="5" t="s">
        <v>58</v>
      </c>
      <c r="C20" s="18">
        <f>C18-C19</f>
        <v>4000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 t="s">
        <v>106</v>
      </c>
      <c r="B21" s="5" t="s">
        <v>9</v>
      </c>
      <c r="C21" s="20">
        <f>C20/C18</f>
        <v>0.38095238095238093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 t="s">
        <v>85</v>
      </c>
      <c r="B22" s="5" t="s">
        <v>58</v>
      </c>
      <c r="C22" s="18">
        <f>Hypothèses!D30</f>
        <v>360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 t="s">
        <v>107</v>
      </c>
      <c r="B23" s="5" t="s">
        <v>58</v>
      </c>
      <c r="C23" s="18">
        <f>C22*Hypothèses!$B$11</f>
        <v>306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 t="s">
        <v>108</v>
      </c>
      <c r="B24" s="5" t="s">
        <v>58</v>
      </c>
      <c r="C24" s="18">
        <f>C23*5</f>
        <v>1530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 t="s">
        <v>109</v>
      </c>
      <c r="B25" s="5" t="s">
        <v>58</v>
      </c>
      <c r="C25" s="18">
        <f>C20+C24</f>
        <v>5530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6.75" customHeight="1">
      <c r="A27" s="51" t="s">
        <v>110</v>
      </c>
      <c r="B27" s="51" t="s">
        <v>110</v>
      </c>
      <c r="C27" s="51" t="s">
        <v>110</v>
      </c>
      <c r="D27" s="51" t="s">
        <v>110</v>
      </c>
      <c r="E27" s="51" t="s">
        <v>110</v>
      </c>
      <c r="F27" s="51" t="s">
        <v>110</v>
      </c>
      <c r="G27" s="51" t="s">
        <v>110</v>
      </c>
      <c r="H27" s="51" t="s">
        <v>110</v>
      </c>
      <c r="I27" s="51" t="s">
        <v>110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1" t="s">
        <v>76</v>
      </c>
      <c r="B28" s="1" t="s">
        <v>5</v>
      </c>
      <c r="C28" s="1" t="s">
        <v>111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 t="s">
        <v>112</v>
      </c>
      <c r="B29" s="5" t="s">
        <v>29</v>
      </c>
      <c r="C29" s="18">
        <f>'P&amp;L'!F18*1000</f>
        <v>4304000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 t="s">
        <v>113</v>
      </c>
      <c r="B30" s="5" t="s">
        <v>58</v>
      </c>
      <c r="C30" s="18">
        <f>Hypothèses!F27-Hypothèses!F28</f>
        <v>4400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 t="s">
        <v>114</v>
      </c>
      <c r="B31" s="5" t="s">
        <v>29</v>
      </c>
      <c r="C31" s="18">
        <f>('P&amp;L'!F5*1000*Hypothèses!$B$11)+('P&amp;L'!F6*1000*Hypothèses!$B$10)</f>
        <v>454302.49711727502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 t="s">
        <v>115</v>
      </c>
      <c r="B32" s="5" t="s">
        <v>56</v>
      </c>
      <c r="C32" s="16">
        <f>(C29-C31)/C30</f>
        <v>874.93125065516483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 t="s">
        <v>116</v>
      </c>
      <c r="B33" s="5" t="s">
        <v>56</v>
      </c>
      <c r="C33" s="16">
        <f>Ventes!F7</f>
        <v>1100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 t="s">
        <v>117</v>
      </c>
      <c r="B34" s="5" t="s">
        <v>9</v>
      </c>
      <c r="C34" s="20">
        <f>(C33-C32)/C33</f>
        <v>0.20460795394985015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5">
    <mergeCell ref="A1:I1"/>
    <mergeCell ref="A2:I2"/>
    <mergeCell ref="A3:I3"/>
    <mergeCell ref="A16:I16"/>
    <mergeCell ref="A27:I27"/>
  </mergeCells>
  <conditionalFormatting sqref="C10">
    <cfRule type="cellIs" dxfId="2" priority="1" operator="lessThanOrEqual">
      <formula>5</formula>
    </cfRule>
  </conditionalFormatting>
  <conditionalFormatting sqref="C34"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/>
  <cols>
    <col min="1" max="1" width="34" customWidth="1"/>
    <col min="2" max="2" width="12" customWidth="1"/>
    <col min="3" max="9" width="13" customWidth="1"/>
  </cols>
  <sheetData>
    <row r="1" spans="1:26" ht="30" customHeight="1">
      <c r="A1" s="48" t="s">
        <v>118</v>
      </c>
      <c r="B1" s="49"/>
      <c r="C1" s="49"/>
      <c r="D1" s="49"/>
      <c r="E1" s="49"/>
      <c r="F1" s="49"/>
      <c r="G1" s="49"/>
      <c r="H1" s="49"/>
      <c r="I1" s="49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0" customHeight="1">
      <c r="A2" s="50" t="s">
        <v>119</v>
      </c>
      <c r="B2" s="50" t="s">
        <v>119</v>
      </c>
      <c r="C2" s="50" t="s">
        <v>119</v>
      </c>
      <c r="D2" s="50" t="s">
        <v>119</v>
      </c>
      <c r="E2" s="50" t="s">
        <v>119</v>
      </c>
      <c r="F2" s="50" t="s">
        <v>119</v>
      </c>
      <c r="G2" s="50" t="s">
        <v>119</v>
      </c>
      <c r="H2" s="50" t="s">
        <v>119</v>
      </c>
      <c r="I2" s="50" t="s">
        <v>119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1" t="s">
        <v>120</v>
      </c>
      <c r="B3" s="1" t="s">
        <v>5</v>
      </c>
      <c r="C3" s="1">
        <v>2027</v>
      </c>
      <c r="D3" s="1">
        <v>2028</v>
      </c>
      <c r="E3" s="1">
        <v>2029</v>
      </c>
      <c r="F3" s="1">
        <v>2030</v>
      </c>
      <c r="G3" s="1">
        <v>2031</v>
      </c>
      <c r="H3" s="1">
        <v>2032</v>
      </c>
      <c r="I3" s="1">
        <v>2033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 t="s">
        <v>79</v>
      </c>
      <c r="B4" s="5" t="s">
        <v>121</v>
      </c>
      <c r="C4" s="16">
        <f>Ventes!C9/1000</f>
        <v>120</v>
      </c>
      <c r="D4" s="16">
        <f>Ventes!D9/1000</f>
        <v>1260</v>
      </c>
      <c r="E4" s="16">
        <f>Ventes!E9/1000</f>
        <v>4635</v>
      </c>
      <c r="F4" s="16">
        <f>Ventes!F9/1000</f>
        <v>11110</v>
      </c>
      <c r="G4" s="16">
        <f>Ventes!G9/1000</f>
        <v>21780</v>
      </c>
      <c r="H4" s="16">
        <f>Ventes!H9/1000</f>
        <v>33950</v>
      </c>
      <c r="I4" s="16">
        <f>Ventes!I9/1000</f>
        <v>47500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86</v>
      </c>
      <c r="B5" s="5" t="s">
        <v>121</v>
      </c>
      <c r="C5" s="16">
        <f>Ventes!C16/1000</f>
        <v>0</v>
      </c>
      <c r="D5" s="16">
        <f>Ventes!D16/1000</f>
        <v>20.189250000000001</v>
      </c>
      <c r="E5" s="16">
        <f>Ventes!E16/1000</f>
        <v>102.969144</v>
      </c>
      <c r="F5" s="16">
        <f>Ventes!F16/1000</f>
        <v>340.35587896150003</v>
      </c>
      <c r="G5" s="16">
        <f>Ventes!G16/1000</f>
        <v>874.01799824514001</v>
      </c>
      <c r="H5" s="16">
        <f>Ventes!H16/1000</f>
        <v>1825.2413453186589</v>
      </c>
      <c r="I5" s="16">
        <f>Ventes!I16/1000</f>
        <v>3299.2444407418707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87</v>
      </c>
      <c r="B6" s="5" t="s">
        <v>121</v>
      </c>
      <c r="C6" s="16">
        <f>Ventes!C17/1000</f>
        <v>0</v>
      </c>
      <c r="D6" s="16">
        <f>Ventes!D17/1000</f>
        <v>50</v>
      </c>
      <c r="E6" s="16">
        <f>Ventes!E17/1000</f>
        <v>150</v>
      </c>
      <c r="F6" s="16">
        <f>Ventes!F17/1000</f>
        <v>300</v>
      </c>
      <c r="G6" s="16">
        <f>Ventes!G17/1000</f>
        <v>500</v>
      </c>
      <c r="H6" s="16">
        <f>Ventes!H17/1000</f>
        <v>700</v>
      </c>
      <c r="I6" s="16">
        <f>Ventes!I17/1000</f>
        <v>900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21" t="s">
        <v>122</v>
      </c>
      <c r="B7" s="21" t="s">
        <v>121</v>
      </c>
      <c r="C7" s="25">
        <f t="shared" ref="C7:I7" si="0">SUM(C4:C6)</f>
        <v>120</v>
      </c>
      <c r="D7" s="25">
        <f t="shared" si="0"/>
        <v>1330.1892499999999</v>
      </c>
      <c r="E7" s="25">
        <f t="shared" si="0"/>
        <v>4887.9691439999997</v>
      </c>
      <c r="F7" s="25">
        <f t="shared" si="0"/>
        <v>11750.3558789615</v>
      </c>
      <c r="G7" s="25">
        <f t="shared" si="0"/>
        <v>23154.017998245141</v>
      </c>
      <c r="H7" s="25">
        <f t="shared" si="0"/>
        <v>36475.24134531866</v>
      </c>
      <c r="I7" s="25">
        <f t="shared" si="0"/>
        <v>51699.244440741873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 t="s">
        <v>105</v>
      </c>
      <c r="B8" s="5" t="s">
        <v>121</v>
      </c>
      <c r="C8" s="17">
        <f>Ventes!C7*Hypothèses!C28/1000</f>
        <v>127.5</v>
      </c>
      <c r="D8" s="17">
        <f>Ventes!D7*Hypothèses!D28/1000</f>
        <v>780</v>
      </c>
      <c r="E8" s="17">
        <f>Ventes!E7*Hypothèses!E28/1000</f>
        <v>2745</v>
      </c>
      <c r="F8" s="17">
        <f>Ventes!F7*Hypothèses!F28/1000</f>
        <v>6270</v>
      </c>
      <c r="G8" s="17">
        <f>Ventes!G7*Hypothèses!G28/1000</f>
        <v>11880</v>
      </c>
      <c r="H8" s="17">
        <f>Ventes!H7*Hypothèses!H28/1000</f>
        <v>17850</v>
      </c>
      <c r="I8" s="17">
        <f>Ventes!I7*Hypothèses!I28/1000</f>
        <v>24500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 t="s">
        <v>123</v>
      </c>
      <c r="B9" s="5" t="s">
        <v>121</v>
      </c>
      <c r="C9" s="17">
        <f>C5*(1-Hypothèses!$B$11)</f>
        <v>0</v>
      </c>
      <c r="D9" s="17">
        <f>D5*(1-Hypothèses!$B$11)</f>
        <v>3.0283875000000005</v>
      </c>
      <c r="E9" s="17">
        <f>E5*(1-Hypothèses!$B$11)</f>
        <v>15.445371600000001</v>
      </c>
      <c r="F9" s="17">
        <f>F5*(1-Hypothèses!$B$11)</f>
        <v>51.053381844225008</v>
      </c>
      <c r="G9" s="17">
        <f>G5*(1-Hypothèses!$B$11)</f>
        <v>131.10269973677103</v>
      </c>
      <c r="H9" s="17">
        <f>H5*(1-Hypothèses!$B$11)</f>
        <v>273.78620179779887</v>
      </c>
      <c r="I9" s="17">
        <f>I5*(1-Hypothèses!$B$11)</f>
        <v>494.88666611128065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 t="s">
        <v>124</v>
      </c>
      <c r="B10" s="5" t="s">
        <v>121</v>
      </c>
      <c r="C10" s="17">
        <f>C6*(1-Hypothèses!$B$10)</f>
        <v>0</v>
      </c>
      <c r="D10" s="17">
        <f>D6*(1-Hypothèses!$B$10)</f>
        <v>22.499999999999996</v>
      </c>
      <c r="E10" s="17">
        <f>E6*(1-Hypothèses!$B$10)</f>
        <v>67.5</v>
      </c>
      <c r="F10" s="17">
        <f>F6*(1-Hypothèses!$B$10)</f>
        <v>135</v>
      </c>
      <c r="G10" s="17">
        <f>G6*(1-Hypothèses!$B$10)</f>
        <v>224.99999999999997</v>
      </c>
      <c r="H10" s="17">
        <f>H6*(1-Hypothèses!$B$10)</f>
        <v>314.99999999999994</v>
      </c>
      <c r="I10" s="17">
        <f>I6*(1-Hypothèses!$B$10)</f>
        <v>404.99999999999994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21" t="s">
        <v>125</v>
      </c>
      <c r="B11" s="21" t="s">
        <v>121</v>
      </c>
      <c r="C11" s="25">
        <f t="shared" ref="C11:I11" si="1">SUM(C8:C10)</f>
        <v>127.5</v>
      </c>
      <c r="D11" s="25">
        <f t="shared" si="1"/>
        <v>805.52838750000001</v>
      </c>
      <c r="E11" s="25">
        <f t="shared" si="1"/>
        <v>2827.9453715999998</v>
      </c>
      <c r="F11" s="25">
        <f t="shared" si="1"/>
        <v>6456.0533818442254</v>
      </c>
      <c r="G11" s="25">
        <f t="shared" si="1"/>
        <v>12236.102699736772</v>
      </c>
      <c r="H11" s="25">
        <f t="shared" si="1"/>
        <v>18438.7862017978</v>
      </c>
      <c r="I11" s="25">
        <f t="shared" si="1"/>
        <v>25399.886666111281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21" t="s">
        <v>126</v>
      </c>
      <c r="B12" s="21" t="s">
        <v>121</v>
      </c>
      <c r="C12" s="25">
        <f t="shared" ref="C12:I12" si="2">C7-C11</f>
        <v>-7.5</v>
      </c>
      <c r="D12" s="25">
        <f t="shared" si="2"/>
        <v>524.66086249999989</v>
      </c>
      <c r="E12" s="25">
        <f t="shared" si="2"/>
        <v>2060.0237723999999</v>
      </c>
      <c r="F12" s="25">
        <f t="shared" si="2"/>
        <v>5294.3024971172745</v>
      </c>
      <c r="G12" s="25">
        <f t="shared" si="2"/>
        <v>10917.915298508369</v>
      </c>
      <c r="H12" s="25">
        <f t="shared" si="2"/>
        <v>18036.45514352086</v>
      </c>
      <c r="I12" s="25">
        <f t="shared" si="2"/>
        <v>26299.357774630593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 t="s">
        <v>127</v>
      </c>
      <c r="B13" s="5" t="s">
        <v>9</v>
      </c>
      <c r="C13" s="26">
        <f t="shared" ref="C13:I13" si="3">C12/C7</f>
        <v>-6.25E-2</v>
      </c>
      <c r="D13" s="26">
        <f t="shared" si="3"/>
        <v>0.39442572739179776</v>
      </c>
      <c r="E13" s="26">
        <f t="shared" si="3"/>
        <v>0.42144778571867353</v>
      </c>
      <c r="F13" s="26">
        <f t="shared" si="3"/>
        <v>0.4505652893965954</v>
      </c>
      <c r="G13" s="26">
        <f t="shared" si="3"/>
        <v>0.47153437037735074</v>
      </c>
      <c r="H13" s="26">
        <f t="shared" si="3"/>
        <v>0.49448487462402252</v>
      </c>
      <c r="I13" s="26">
        <f t="shared" si="3"/>
        <v>0.50869907402177117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 t="s">
        <v>128</v>
      </c>
      <c r="B14" s="5" t="s">
        <v>121</v>
      </c>
      <c r="C14" s="16">
        <f>Hypothèses!C32*Hypothèses!C33/1000</f>
        <v>375</v>
      </c>
      <c r="D14" s="16">
        <f>Hypothèses!D32*Hypothèses!D33/1000</f>
        <v>624</v>
      </c>
      <c r="E14" s="16">
        <f>Hypothèses!E32*Hypothèses!E33/1000</f>
        <v>1040</v>
      </c>
      <c r="F14" s="16">
        <f>Hypothèses!F32*Hypothèses!F33/1000</f>
        <v>1804</v>
      </c>
      <c r="G14" s="16">
        <f>Hypothèses!G32*Hypothèses!G33/1000</f>
        <v>2940</v>
      </c>
      <c r="H14" s="16">
        <f>Hypothèses!H32*Hypothèses!H33/1000</f>
        <v>4300</v>
      </c>
      <c r="I14" s="16">
        <f>Hypothèses!I32*Hypothèses!I33/1000</f>
        <v>5720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 t="s">
        <v>129</v>
      </c>
      <c r="B15" s="5" t="s">
        <v>121</v>
      </c>
      <c r="C15" s="16">
        <f>Hypothèses!C34/1000</f>
        <v>500</v>
      </c>
      <c r="D15" s="16">
        <f>Hypothèses!D34/1000</f>
        <v>700</v>
      </c>
      <c r="E15" s="16">
        <f>Hypothèses!E34/1000</f>
        <v>800</v>
      </c>
      <c r="F15" s="16">
        <f>Hypothèses!F34/1000</f>
        <v>900</v>
      </c>
      <c r="G15" s="16">
        <f>Hypothèses!G34/1000</f>
        <v>1000</v>
      </c>
      <c r="H15" s="16">
        <f>Hypothèses!H34/1000</f>
        <v>1200</v>
      </c>
      <c r="I15" s="16">
        <f>Hypothèses!I34/1000</f>
        <v>1400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 t="s">
        <v>69</v>
      </c>
      <c r="B16" s="5" t="s">
        <v>121</v>
      </c>
      <c r="C16" s="16">
        <f>Hypothèses!C35/1000</f>
        <v>75</v>
      </c>
      <c r="D16" s="16">
        <f>Hypothèses!D35/1000</f>
        <v>250</v>
      </c>
      <c r="E16" s="16">
        <f>Hypothèses!E35/1000</f>
        <v>600</v>
      </c>
      <c r="F16" s="16">
        <f>Hypothèses!F35/1000</f>
        <v>1100</v>
      </c>
      <c r="G16" s="16">
        <f>Hypothèses!G35/1000</f>
        <v>1800</v>
      </c>
      <c r="H16" s="16">
        <f>Hypothèses!H35/1000</f>
        <v>2600</v>
      </c>
      <c r="I16" s="16">
        <f>Hypothèses!I35/1000</f>
        <v>3400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 t="s">
        <v>70</v>
      </c>
      <c r="B17" s="5" t="s">
        <v>121</v>
      </c>
      <c r="C17" s="16">
        <f>Hypothèses!C36/1000</f>
        <v>150</v>
      </c>
      <c r="D17" s="16">
        <f>Hypothèses!D36/1000</f>
        <v>250</v>
      </c>
      <c r="E17" s="16">
        <f>Hypothèses!E36/1000</f>
        <v>350</v>
      </c>
      <c r="F17" s="16">
        <f>Hypothèses!F36/1000</f>
        <v>500</v>
      </c>
      <c r="G17" s="16">
        <f>Hypothèses!G36/1000</f>
        <v>700</v>
      </c>
      <c r="H17" s="16">
        <f>Hypothèses!H36/1000</f>
        <v>900</v>
      </c>
      <c r="I17" s="16">
        <f>Hypothèses!I36/1000</f>
        <v>1100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21" t="s">
        <v>130</v>
      </c>
      <c r="B18" s="21" t="s">
        <v>121</v>
      </c>
      <c r="C18" s="25">
        <f t="shared" ref="C18:I18" si="4">SUM(C14:C17)</f>
        <v>1100</v>
      </c>
      <c r="D18" s="25">
        <f t="shared" si="4"/>
        <v>1824</v>
      </c>
      <c r="E18" s="25">
        <f t="shared" si="4"/>
        <v>2790</v>
      </c>
      <c r="F18" s="25">
        <f t="shared" si="4"/>
        <v>4304</v>
      </c>
      <c r="G18" s="25">
        <f t="shared" si="4"/>
        <v>6440</v>
      </c>
      <c r="H18" s="25">
        <f t="shared" si="4"/>
        <v>9000</v>
      </c>
      <c r="I18" s="25">
        <f t="shared" si="4"/>
        <v>11620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21" t="s">
        <v>131</v>
      </c>
      <c r="B19" s="21" t="s">
        <v>121</v>
      </c>
      <c r="C19" s="25">
        <f t="shared" ref="C19:I19" si="5">C12-C18</f>
        <v>-1107.5</v>
      </c>
      <c r="D19" s="25">
        <f t="shared" si="5"/>
        <v>-1299.3391375000001</v>
      </c>
      <c r="E19" s="25">
        <f t="shared" si="5"/>
        <v>-729.97622760000013</v>
      </c>
      <c r="F19" s="25">
        <f t="shared" si="5"/>
        <v>990.30249711727447</v>
      </c>
      <c r="G19" s="25">
        <f t="shared" si="5"/>
        <v>4477.9152985083692</v>
      </c>
      <c r="H19" s="25">
        <f t="shared" si="5"/>
        <v>9036.4551435208596</v>
      </c>
      <c r="I19" s="25">
        <f t="shared" si="5"/>
        <v>14679.357774630593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 t="s">
        <v>132</v>
      </c>
      <c r="B20" s="5" t="s">
        <v>9</v>
      </c>
      <c r="C20" s="26">
        <f t="shared" ref="C20:I20" si="6">C19/C7</f>
        <v>-9.2291666666666661</v>
      </c>
      <c r="D20" s="26">
        <f t="shared" si="6"/>
        <v>-0.97680772679526628</v>
      </c>
      <c r="E20" s="26">
        <f t="shared" si="6"/>
        <v>-0.14934141482788382</v>
      </c>
      <c r="F20" s="26">
        <f t="shared" si="6"/>
        <v>8.427851099304727E-2</v>
      </c>
      <c r="G20" s="26">
        <f t="shared" si="6"/>
        <v>0.19339689978852714</v>
      </c>
      <c r="H20" s="26">
        <f t="shared" si="6"/>
        <v>0.24774216181247077</v>
      </c>
      <c r="I20" s="26">
        <f t="shared" si="6"/>
        <v>0.28393756878702942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 t="s">
        <v>133</v>
      </c>
      <c r="B21" s="5" t="s">
        <v>121</v>
      </c>
      <c r="C21" s="16">
        <f>SUM(Hypothèses!C37)/Hypothèses!$B$13/1000</f>
        <v>70</v>
      </c>
      <c r="D21" s="16">
        <f>SUM(Hypothèses!C37,Hypothèses!D37)/Hypothèses!$B$13/1000</f>
        <v>160</v>
      </c>
      <c r="E21" s="16">
        <f>SUM(Hypothèses!C37,Hypothèses!D37,Hypothèses!E37)/Hypothèses!$B$13/1000</f>
        <v>280</v>
      </c>
      <c r="F21" s="16">
        <f>SUM(Hypothèses!C37,Hypothèses!D37,Hypothèses!E37,Hypothèses!F37)/Hypothèses!$B$13/1000</f>
        <v>440</v>
      </c>
      <c r="G21" s="16">
        <f>SUM(Hypothèses!C37,Hypothèses!D37,Hypothèses!E37,Hypothèses!F37,Hypothèses!G37)/Hypothèses!$B$13/1000</f>
        <v>640</v>
      </c>
      <c r="H21" s="16">
        <f>SUM(Hypothèses!D37,Hypothèses!E37,Hypothèses!F37,Hypothèses!G37,Hypothèses!H37)/Hypothèses!$B$13/1000</f>
        <v>810</v>
      </c>
      <c r="I21" s="16">
        <f>SUM(Hypothèses!E37,Hypothèses!F37,Hypothèses!G37,Hypothèses!H37,Hypothèses!I37)/Hypothèses!$B$13/1000</f>
        <v>1000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 t="s">
        <v>134</v>
      </c>
      <c r="B22" s="5" t="s">
        <v>121</v>
      </c>
      <c r="C22" s="17">
        <f t="shared" ref="C22:I22" si="7">C19-C21</f>
        <v>-1177.5</v>
      </c>
      <c r="D22" s="17">
        <f t="shared" si="7"/>
        <v>-1459.3391375000001</v>
      </c>
      <c r="E22" s="17">
        <f t="shared" si="7"/>
        <v>-1009.9762276000001</v>
      </c>
      <c r="F22" s="17">
        <f t="shared" si="7"/>
        <v>550.30249711727447</v>
      </c>
      <c r="G22" s="17">
        <f t="shared" si="7"/>
        <v>3837.9152985083692</v>
      </c>
      <c r="H22" s="17">
        <f t="shared" si="7"/>
        <v>8226.4551435208596</v>
      </c>
      <c r="I22" s="17">
        <f t="shared" si="7"/>
        <v>13679.357774630593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 t="s">
        <v>135</v>
      </c>
      <c r="B23" s="5" t="s">
        <v>121</v>
      </c>
      <c r="C23" s="17">
        <f>0</f>
        <v>0</v>
      </c>
      <c r="D23" s="17">
        <f>0</f>
        <v>0</v>
      </c>
      <c r="E23" s="17">
        <f>0</f>
        <v>0</v>
      </c>
      <c r="F23" s="17">
        <f>0</f>
        <v>0</v>
      </c>
      <c r="G23" s="17">
        <f>0</f>
        <v>0</v>
      </c>
      <c r="H23" s="17">
        <f>0</f>
        <v>0</v>
      </c>
      <c r="I23" s="17">
        <f>0</f>
        <v>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 t="s">
        <v>136</v>
      </c>
      <c r="B24" s="5" t="s">
        <v>121</v>
      </c>
      <c r="C24" s="17">
        <f t="shared" ref="C24:I24" si="8">C22+C23</f>
        <v>-1177.5</v>
      </c>
      <c r="D24" s="17">
        <f t="shared" si="8"/>
        <v>-1459.3391375000001</v>
      </c>
      <c r="E24" s="17">
        <f t="shared" si="8"/>
        <v>-1009.9762276000001</v>
      </c>
      <c r="F24" s="17">
        <f t="shared" si="8"/>
        <v>550.30249711727447</v>
      </c>
      <c r="G24" s="17">
        <f t="shared" si="8"/>
        <v>3837.9152985083692</v>
      </c>
      <c r="H24" s="17">
        <f t="shared" si="8"/>
        <v>8226.4551435208596</v>
      </c>
      <c r="I24" s="17">
        <f t="shared" si="8"/>
        <v>13679.357774630593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 t="s">
        <v>137</v>
      </c>
      <c r="B25" s="5" t="s">
        <v>121</v>
      </c>
      <c r="C25" s="17">
        <f>0</f>
        <v>0</v>
      </c>
      <c r="D25" s="17">
        <f t="shared" ref="D25:I25" si="9">C28</f>
        <v>1177.5</v>
      </c>
      <c r="E25" s="17">
        <f t="shared" si="9"/>
        <v>2636.8391375000001</v>
      </c>
      <c r="F25" s="17">
        <f t="shared" si="9"/>
        <v>3646.8153651000002</v>
      </c>
      <c r="G25" s="17">
        <f t="shared" si="9"/>
        <v>3096.5128679827258</v>
      </c>
      <c r="H25" s="17">
        <f t="shared" si="9"/>
        <v>0</v>
      </c>
      <c r="I25" s="17">
        <f t="shared" si="9"/>
        <v>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 t="s">
        <v>138</v>
      </c>
      <c r="B26" s="5" t="s">
        <v>121</v>
      </c>
      <c r="C26" s="17">
        <f t="shared" ref="C26:I26" si="10">MAX(0,-C24)</f>
        <v>1177.5</v>
      </c>
      <c r="D26" s="17">
        <f t="shared" si="10"/>
        <v>1459.3391375000001</v>
      </c>
      <c r="E26" s="17">
        <f t="shared" si="10"/>
        <v>1009.9762276000001</v>
      </c>
      <c r="F26" s="17">
        <f t="shared" si="10"/>
        <v>0</v>
      </c>
      <c r="G26" s="17">
        <f t="shared" si="10"/>
        <v>0</v>
      </c>
      <c r="H26" s="17">
        <f t="shared" si="10"/>
        <v>0</v>
      </c>
      <c r="I26" s="17">
        <f t="shared" si="10"/>
        <v>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 t="s">
        <v>139</v>
      </c>
      <c r="B27" s="5" t="s">
        <v>121</v>
      </c>
      <c r="C27" s="17">
        <f t="shared" ref="C27:I27" si="11">MIN(C25,MAX(0,C24))</f>
        <v>0</v>
      </c>
      <c r="D27" s="17">
        <f t="shared" si="11"/>
        <v>0</v>
      </c>
      <c r="E27" s="17">
        <f t="shared" si="11"/>
        <v>0</v>
      </c>
      <c r="F27" s="17">
        <f t="shared" si="11"/>
        <v>550.30249711727447</v>
      </c>
      <c r="G27" s="17">
        <f t="shared" si="11"/>
        <v>3096.5128679827258</v>
      </c>
      <c r="H27" s="17">
        <f t="shared" si="11"/>
        <v>0</v>
      </c>
      <c r="I27" s="17">
        <f t="shared" si="11"/>
        <v>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 t="s">
        <v>140</v>
      </c>
      <c r="B28" s="5" t="s">
        <v>121</v>
      </c>
      <c r="C28" s="17">
        <f t="shared" ref="C28:I28" si="12">C25+C26-C27</f>
        <v>1177.5</v>
      </c>
      <c r="D28" s="17">
        <f t="shared" si="12"/>
        <v>2636.8391375000001</v>
      </c>
      <c r="E28" s="17">
        <f t="shared" si="12"/>
        <v>3646.8153651000002</v>
      </c>
      <c r="F28" s="17">
        <f t="shared" si="12"/>
        <v>3096.5128679827258</v>
      </c>
      <c r="G28" s="17">
        <f t="shared" si="12"/>
        <v>0</v>
      </c>
      <c r="H28" s="17">
        <f t="shared" si="12"/>
        <v>0</v>
      </c>
      <c r="I28" s="17">
        <f t="shared" si="12"/>
        <v>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 t="s">
        <v>141</v>
      </c>
      <c r="B29" s="5" t="s">
        <v>121</v>
      </c>
      <c r="C29" s="17">
        <f t="shared" ref="C29:I29" si="13">MAX(0,C24-C27)</f>
        <v>0</v>
      </c>
      <c r="D29" s="17">
        <f t="shared" si="13"/>
        <v>0</v>
      </c>
      <c r="E29" s="17">
        <f t="shared" si="13"/>
        <v>0</v>
      </c>
      <c r="F29" s="17">
        <f t="shared" si="13"/>
        <v>0</v>
      </c>
      <c r="G29" s="17">
        <f t="shared" si="13"/>
        <v>741.40243052564347</v>
      </c>
      <c r="H29" s="17">
        <f t="shared" si="13"/>
        <v>8226.4551435208596</v>
      </c>
      <c r="I29" s="17">
        <f t="shared" si="13"/>
        <v>13679.357774630593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 t="s">
        <v>142</v>
      </c>
      <c r="B30" s="5" t="s">
        <v>121</v>
      </c>
      <c r="C30" s="16">
        <f>C29*Hypothèses!$B$5</f>
        <v>0</v>
      </c>
      <c r="D30" s="16">
        <f>D29*Hypothèses!$B$5</f>
        <v>0</v>
      </c>
      <c r="E30" s="16">
        <f>E29*Hypothèses!$B$5</f>
        <v>0</v>
      </c>
      <c r="F30" s="16">
        <f>F29*Hypothèses!$B$5</f>
        <v>0</v>
      </c>
      <c r="G30" s="16">
        <f>G29*Hypothèses!$B$5</f>
        <v>185.35060763141087</v>
      </c>
      <c r="H30" s="16">
        <f>H29*Hypothèses!$B$5</f>
        <v>2056.6137858802149</v>
      </c>
      <c r="I30" s="16">
        <f>I29*Hypothèses!$B$5</f>
        <v>3419.8394436576482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21" t="s">
        <v>143</v>
      </c>
      <c r="B31" s="21" t="s">
        <v>121</v>
      </c>
      <c r="C31" s="25">
        <f t="shared" ref="C31:I31" si="14">C24-C30</f>
        <v>-1177.5</v>
      </c>
      <c r="D31" s="25">
        <f t="shared" si="14"/>
        <v>-1459.3391375000001</v>
      </c>
      <c r="E31" s="25">
        <f t="shared" si="14"/>
        <v>-1009.9762276000001</v>
      </c>
      <c r="F31" s="25">
        <f t="shared" si="14"/>
        <v>550.30249711727447</v>
      </c>
      <c r="G31" s="25">
        <f t="shared" si="14"/>
        <v>3652.5646908769586</v>
      </c>
      <c r="H31" s="25">
        <f t="shared" si="14"/>
        <v>6169.8413576406447</v>
      </c>
      <c r="I31" s="25">
        <f t="shared" si="14"/>
        <v>10259.518330972944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 t="s">
        <v>144</v>
      </c>
      <c r="B32" s="5" t="s">
        <v>9</v>
      </c>
      <c r="C32" s="26">
        <f t="shared" ref="C32:I32" si="15">C31/C7</f>
        <v>-9.8125</v>
      </c>
      <c r="D32" s="26">
        <f t="shared" si="15"/>
        <v>-1.097091363127465</v>
      </c>
      <c r="E32" s="26">
        <f t="shared" si="15"/>
        <v>-0.20662491882538778</v>
      </c>
      <c r="F32" s="26">
        <f t="shared" si="15"/>
        <v>4.6832836620937339E-2</v>
      </c>
      <c r="G32" s="26">
        <f t="shared" si="15"/>
        <v>0.15775079259046049</v>
      </c>
      <c r="H32" s="26">
        <f t="shared" si="15"/>
        <v>0.16915148824457335</v>
      </c>
      <c r="I32" s="26">
        <f t="shared" si="15"/>
        <v>0.19844619475498318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/>
  <cols>
    <col min="1" max="1" width="36" customWidth="1"/>
    <col min="2" max="2" width="12" customWidth="1"/>
    <col min="3" max="9" width="13" customWidth="1"/>
  </cols>
  <sheetData>
    <row r="1" spans="1:26" ht="30" customHeight="1">
      <c r="A1" s="48" t="s">
        <v>145</v>
      </c>
      <c r="B1" s="49"/>
      <c r="C1" s="49"/>
      <c r="D1" s="49"/>
      <c r="E1" s="49"/>
      <c r="F1" s="49"/>
      <c r="G1" s="49"/>
      <c r="H1" s="49"/>
      <c r="I1" s="49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0" customHeight="1">
      <c r="A2" s="50" t="s">
        <v>146</v>
      </c>
      <c r="B2" s="50" t="s">
        <v>146</v>
      </c>
      <c r="C2" s="50" t="s">
        <v>146</v>
      </c>
      <c r="D2" s="50" t="s">
        <v>146</v>
      </c>
      <c r="E2" s="50" t="s">
        <v>146</v>
      </c>
      <c r="F2" s="50" t="s">
        <v>146</v>
      </c>
      <c r="G2" s="50" t="s">
        <v>146</v>
      </c>
      <c r="H2" s="50" t="s">
        <v>146</v>
      </c>
      <c r="I2" s="50" t="s">
        <v>146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1" t="s">
        <v>147</v>
      </c>
      <c r="B3" s="1" t="s">
        <v>5</v>
      </c>
      <c r="C3" s="1">
        <v>2027</v>
      </c>
      <c r="D3" s="1">
        <v>2028</v>
      </c>
      <c r="E3" s="1">
        <v>2029</v>
      </c>
      <c r="F3" s="1">
        <v>2030</v>
      </c>
      <c r="G3" s="1">
        <v>2031</v>
      </c>
      <c r="H3" s="1">
        <v>2032</v>
      </c>
      <c r="I3" s="1">
        <v>2033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 t="s">
        <v>131</v>
      </c>
      <c r="B4" s="5" t="s">
        <v>121</v>
      </c>
      <c r="C4" s="16">
        <f>'P&amp;L'!C19</f>
        <v>-1107.5</v>
      </c>
      <c r="D4" s="16">
        <f>'P&amp;L'!D19</f>
        <v>-1299.3391375000001</v>
      </c>
      <c r="E4" s="16">
        <f>'P&amp;L'!E19</f>
        <v>-729.97622760000013</v>
      </c>
      <c r="F4" s="16">
        <f>'P&amp;L'!F19</f>
        <v>990.30249711727447</v>
      </c>
      <c r="G4" s="16">
        <f>'P&amp;L'!G19</f>
        <v>4477.9152985083692</v>
      </c>
      <c r="H4" s="16">
        <f>'P&amp;L'!H19</f>
        <v>9036.4551435208596</v>
      </c>
      <c r="I4" s="16">
        <f>'P&amp;L'!I19</f>
        <v>14679.357774630593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148</v>
      </c>
      <c r="B5" s="5" t="s">
        <v>121</v>
      </c>
      <c r="C5" s="16">
        <f>'P&amp;L'!C30</f>
        <v>0</v>
      </c>
      <c r="D5" s="16">
        <f>'P&amp;L'!D30</f>
        <v>0</v>
      </c>
      <c r="E5" s="16">
        <f>'P&amp;L'!E30</f>
        <v>0</v>
      </c>
      <c r="F5" s="16">
        <f>'P&amp;L'!F30</f>
        <v>0</v>
      </c>
      <c r="G5" s="16">
        <f>'P&amp;L'!G30</f>
        <v>185.35060763141087</v>
      </c>
      <c r="H5" s="16">
        <f>'P&amp;L'!H30</f>
        <v>2056.6137858802149</v>
      </c>
      <c r="I5" s="16">
        <f>'P&amp;L'!I30</f>
        <v>3419.8394436576482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71</v>
      </c>
      <c r="B6" s="5" t="s">
        <v>121</v>
      </c>
      <c r="C6" s="16">
        <f>Hypothèses!C37/1000</f>
        <v>350</v>
      </c>
      <c r="D6" s="16">
        <f>Hypothèses!D37/1000</f>
        <v>450</v>
      </c>
      <c r="E6" s="16">
        <f>Hypothèses!E37/1000</f>
        <v>600</v>
      </c>
      <c r="F6" s="16">
        <f>Hypothèses!F37/1000</f>
        <v>800</v>
      </c>
      <c r="G6" s="16">
        <f>Hypothèses!G37/1000</f>
        <v>1000</v>
      </c>
      <c r="H6" s="16">
        <f>Hypothèses!H37/1000</f>
        <v>1200</v>
      </c>
      <c r="I6" s="16">
        <f>Hypothèses!I37/1000</f>
        <v>1400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 t="s">
        <v>149</v>
      </c>
      <c r="B7" s="5" t="s">
        <v>121</v>
      </c>
      <c r="C7" s="16">
        <f>'P&amp;L'!C7*Hypothèses!$B$6/365</f>
        <v>14.794520547945206</v>
      </c>
      <c r="D7" s="16">
        <f>'P&amp;L'!D7*Hypothèses!$B$6/365</f>
        <v>163.99593493150684</v>
      </c>
      <c r="E7" s="16">
        <f>'P&amp;L'!E7*Hypothèses!$B$6/365</f>
        <v>602.6263328219178</v>
      </c>
      <c r="F7" s="16">
        <f>'P&amp;L'!F7*Hypothèses!$B$6/365</f>
        <v>1448.6740124747055</v>
      </c>
      <c r="G7" s="16">
        <f>'P&amp;L'!G7*Hypothèses!$B$6/365</f>
        <v>2854.6049586877571</v>
      </c>
      <c r="H7" s="16">
        <f>'P&amp;L'!H7*Hypothèses!$B$6/365</f>
        <v>4496.9475631214791</v>
      </c>
      <c r="I7" s="16">
        <f>'P&amp;L'!I7*Hypothèses!$B$6/365</f>
        <v>6373.8794515983136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 t="s">
        <v>150</v>
      </c>
      <c r="B8" s="5" t="s">
        <v>121</v>
      </c>
      <c r="C8" s="16">
        <f>'P&amp;L'!C8*Hypothèses!$B$7/365</f>
        <v>20.958904109589042</v>
      </c>
      <c r="D8" s="16">
        <f>'P&amp;L'!D8*Hypothèses!$B$7/365</f>
        <v>128.21917808219177</v>
      </c>
      <c r="E8" s="16">
        <f>'P&amp;L'!E8*Hypothèses!$B$7/365</f>
        <v>451.23287671232879</v>
      </c>
      <c r="F8" s="16">
        <f>'P&amp;L'!F8*Hypothèses!$B$7/365</f>
        <v>1030.6849315068494</v>
      </c>
      <c r="G8" s="16">
        <f>'P&amp;L'!G8*Hypothèses!$B$7/365</f>
        <v>1952.8767123287671</v>
      </c>
      <c r="H8" s="16">
        <f>'P&amp;L'!H8*Hypothèses!$B$7/365</f>
        <v>2934.2465753424658</v>
      </c>
      <c r="I8" s="16">
        <f>'P&amp;L'!I8*Hypothèses!$B$7/365</f>
        <v>4027.3972602739727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 t="s">
        <v>151</v>
      </c>
      <c r="B9" s="5" t="s">
        <v>121</v>
      </c>
      <c r="C9" s="16">
        <f>'P&amp;L'!C11*Hypothèses!$B$8/365</f>
        <v>15.719178082191782</v>
      </c>
      <c r="D9" s="16">
        <f>'P&amp;L'!D11*Hypothèses!$B$8/365</f>
        <v>99.311719006849316</v>
      </c>
      <c r="E9" s="16">
        <f>'P&amp;L'!E11*Hypothèses!$B$8/365</f>
        <v>348.65079923835617</v>
      </c>
      <c r="F9" s="16">
        <f>'P&amp;L'!F11*Hypothèses!$B$8/365</f>
        <v>795.95178680271272</v>
      </c>
      <c r="G9" s="16">
        <f>'P&amp;L'!G11*Hypothèses!$B$8/365</f>
        <v>1508.5606068168622</v>
      </c>
      <c r="H9" s="16">
        <f>'P&amp;L'!H11*Hypothèses!$B$8/365</f>
        <v>2273.2750111805508</v>
      </c>
      <c r="I9" s="16">
        <f>'P&amp;L'!I11*Hypothèses!$B$8/365</f>
        <v>3131.4928766438566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21" t="s">
        <v>152</v>
      </c>
      <c r="B10" s="21" t="s">
        <v>121</v>
      </c>
      <c r="C10" s="25">
        <f t="shared" ref="C10:I10" si="0">C7+C8-C9</f>
        <v>20.034246575342465</v>
      </c>
      <c r="D10" s="25">
        <f t="shared" si="0"/>
        <v>192.90339400684928</v>
      </c>
      <c r="E10" s="25">
        <f t="shared" si="0"/>
        <v>705.2084102958903</v>
      </c>
      <c r="F10" s="25">
        <f t="shared" si="0"/>
        <v>1683.4071571788422</v>
      </c>
      <c r="G10" s="25">
        <f t="shared" si="0"/>
        <v>3298.9210641996619</v>
      </c>
      <c r="H10" s="25">
        <f t="shared" si="0"/>
        <v>5157.9191272833941</v>
      </c>
      <c r="I10" s="25">
        <f t="shared" si="0"/>
        <v>7269.7838352284289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 t="s">
        <v>153</v>
      </c>
      <c r="B11" s="5" t="s">
        <v>121</v>
      </c>
      <c r="C11" s="17">
        <f>C10</f>
        <v>20.034246575342465</v>
      </c>
      <c r="D11" s="17">
        <f t="shared" ref="D11:I11" si="1">D10-C10</f>
        <v>172.8691474315068</v>
      </c>
      <c r="E11" s="17">
        <f t="shared" si="1"/>
        <v>512.30501628904108</v>
      </c>
      <c r="F11" s="17">
        <f t="shared" si="1"/>
        <v>978.19874688295192</v>
      </c>
      <c r="G11" s="17">
        <f t="shared" si="1"/>
        <v>1615.5139070208197</v>
      </c>
      <c r="H11" s="17">
        <f t="shared" si="1"/>
        <v>1858.9980630837322</v>
      </c>
      <c r="I11" s="17">
        <f t="shared" si="1"/>
        <v>2111.8647079450348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21" t="s">
        <v>154</v>
      </c>
      <c r="B12" s="21" t="s">
        <v>121</v>
      </c>
      <c r="C12" s="25">
        <f t="shared" ref="C12:I12" si="2">C4-C5-C6-C11</f>
        <v>-1477.5342465753424</v>
      </c>
      <c r="D12" s="25">
        <f t="shared" si="2"/>
        <v>-1922.208284931507</v>
      </c>
      <c r="E12" s="25">
        <f t="shared" si="2"/>
        <v>-1842.2812438890412</v>
      </c>
      <c r="F12" s="25">
        <f t="shared" si="2"/>
        <v>-787.89624976567745</v>
      </c>
      <c r="G12" s="25">
        <f t="shared" si="2"/>
        <v>1677.0507838561389</v>
      </c>
      <c r="H12" s="25">
        <f t="shared" si="2"/>
        <v>3920.8432945569125</v>
      </c>
      <c r="I12" s="25">
        <f t="shared" si="2"/>
        <v>7747.6536230279089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 t="s">
        <v>155</v>
      </c>
      <c r="B13" s="5" t="s">
        <v>121</v>
      </c>
      <c r="C13" s="17">
        <f>Hypothèses!$B$12/1000</f>
        <v>250</v>
      </c>
      <c r="D13" s="17">
        <f t="shared" ref="D13:I13" si="3">C15</f>
        <v>772.46575342465758</v>
      </c>
      <c r="E13" s="17">
        <f t="shared" si="3"/>
        <v>1350.2574684931506</v>
      </c>
      <c r="F13" s="17">
        <f t="shared" si="3"/>
        <v>1007.9762246041093</v>
      </c>
      <c r="G13" s="17">
        <f t="shared" si="3"/>
        <v>220.07997483843189</v>
      </c>
      <c r="H13" s="17">
        <f t="shared" si="3"/>
        <v>1897.1307586945709</v>
      </c>
      <c r="I13" s="17">
        <f t="shared" si="3"/>
        <v>5817.9740532514834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 t="s">
        <v>156</v>
      </c>
      <c r="B14" s="5" t="s">
        <v>121</v>
      </c>
      <c r="C14" s="16">
        <f>Hypothèses!C38/1000</f>
        <v>2000</v>
      </c>
      <c r="D14" s="16">
        <f>Hypothèses!D38/1000</f>
        <v>2500</v>
      </c>
      <c r="E14" s="16">
        <f>Hypothèses!E38/1000</f>
        <v>1500</v>
      </c>
      <c r="F14" s="16">
        <f>Hypothèses!F38/1000</f>
        <v>0</v>
      </c>
      <c r="G14" s="16">
        <f>Hypothèses!G38/1000</f>
        <v>0</v>
      </c>
      <c r="H14" s="16">
        <f>Hypothèses!H38/1000</f>
        <v>0</v>
      </c>
      <c r="I14" s="16">
        <f>Hypothèses!I38/1000</f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21" t="s">
        <v>157</v>
      </c>
      <c r="B15" s="21" t="s">
        <v>121</v>
      </c>
      <c r="C15" s="25">
        <f t="shared" ref="C15:I15" si="4">C13+C12+C14</f>
        <v>772.46575342465758</v>
      </c>
      <c r="D15" s="25">
        <f t="shared" si="4"/>
        <v>1350.2574684931506</v>
      </c>
      <c r="E15" s="25">
        <f t="shared" si="4"/>
        <v>1007.9762246041093</v>
      </c>
      <c r="F15" s="25">
        <f t="shared" si="4"/>
        <v>220.07997483843189</v>
      </c>
      <c r="G15" s="25">
        <f t="shared" si="4"/>
        <v>1897.1307586945709</v>
      </c>
      <c r="H15" s="25">
        <f t="shared" si="4"/>
        <v>5817.9740532514834</v>
      </c>
      <c r="I15" s="25">
        <f t="shared" si="4"/>
        <v>13565.627676279393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21" t="s">
        <v>158</v>
      </c>
      <c r="B16" s="21" t="s">
        <v>121</v>
      </c>
      <c r="C16" s="25">
        <f>C13+C12</f>
        <v>-1227.5342465753424</v>
      </c>
      <c r="D16" s="25">
        <f t="shared" ref="D16:I16" si="5">C16+D12</f>
        <v>-3149.7425315068494</v>
      </c>
      <c r="E16" s="25">
        <f t="shared" si="5"/>
        <v>-4992.0237753958909</v>
      </c>
      <c r="F16" s="25">
        <f t="shared" si="5"/>
        <v>-5779.9200251615684</v>
      </c>
      <c r="G16" s="25">
        <f t="shared" si="5"/>
        <v>-4102.8692413054296</v>
      </c>
      <c r="H16" s="25">
        <f t="shared" si="5"/>
        <v>-182.02594674851707</v>
      </c>
      <c r="I16" s="25">
        <f t="shared" si="5"/>
        <v>7565.6276762793914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2">
    <mergeCell ref="A1:I1"/>
    <mergeCell ref="A2:I2"/>
  </mergeCells>
  <conditionalFormatting sqref="C15:I15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baseColWidth="10" defaultColWidth="8.83203125" defaultRowHeight="15"/>
  <cols>
    <col min="1" max="1" width="38" customWidth="1"/>
    <col min="2" max="2" width="28" customWidth="1"/>
    <col min="3" max="3" width="70" customWidth="1"/>
  </cols>
  <sheetData>
    <row r="1" spans="1:26" ht="40" customHeight="1">
      <c r="A1" s="44" t="s">
        <v>159</v>
      </c>
      <c r="B1" s="45"/>
      <c r="C1" s="45"/>
      <c r="D1" s="45"/>
      <c r="E1" s="45"/>
      <c r="F1" s="45"/>
      <c r="G1" s="45"/>
      <c r="H1" s="45"/>
      <c r="I1" s="4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6.75" customHeight="1">
      <c r="A2" s="46" t="s">
        <v>160</v>
      </c>
      <c r="B2" s="46" t="s">
        <v>160</v>
      </c>
      <c r="C2" s="46" t="s">
        <v>160</v>
      </c>
      <c r="D2" s="46" t="s">
        <v>160</v>
      </c>
      <c r="E2" s="46" t="s">
        <v>160</v>
      </c>
      <c r="F2" s="46" t="s">
        <v>160</v>
      </c>
      <c r="G2" s="46" t="s">
        <v>160</v>
      </c>
      <c r="H2" s="46" t="s">
        <v>160</v>
      </c>
      <c r="I2" s="46" t="s">
        <v>160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6.75" customHeight="1">
      <c r="A3" s="47" t="s">
        <v>161</v>
      </c>
      <c r="B3" s="47" t="s">
        <v>161</v>
      </c>
      <c r="C3" s="47" t="s">
        <v>161</v>
      </c>
      <c r="D3" s="47" t="s">
        <v>161</v>
      </c>
      <c r="E3" s="47" t="s">
        <v>161</v>
      </c>
      <c r="F3" s="47" t="s">
        <v>161</v>
      </c>
      <c r="G3" s="47" t="s">
        <v>161</v>
      </c>
      <c r="H3" s="47" t="s">
        <v>161</v>
      </c>
      <c r="I3" s="47" t="s">
        <v>161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">
      <c r="A4" s="2" t="s">
        <v>76</v>
      </c>
      <c r="B4" s="2" t="s">
        <v>5</v>
      </c>
      <c r="C4" s="2" t="s">
        <v>4</v>
      </c>
      <c r="D4" s="4"/>
      <c r="E4" s="4"/>
      <c r="F4" s="4"/>
      <c r="G4" s="4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2">
      <c r="A5" s="4" t="s">
        <v>162</v>
      </c>
      <c r="B5" s="4" t="s">
        <v>121</v>
      </c>
      <c r="C5" s="7">
        <f>-MIN('Cash Flow'!C16:I16)</f>
        <v>5779.9200251615684</v>
      </c>
      <c r="D5" s="4"/>
      <c r="E5" s="4"/>
      <c r="F5" s="4"/>
      <c r="G5" s="4"/>
      <c r="H5" s="4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">
      <c r="A6" s="4" t="s">
        <v>163</v>
      </c>
      <c r="B6" s="4" t="s">
        <v>121</v>
      </c>
      <c r="C6" s="7">
        <f>SUM(Hypothèses!C38:I38)/1000</f>
        <v>6000</v>
      </c>
      <c r="D6" s="4"/>
      <c r="E6" s="4"/>
      <c r="F6" s="4"/>
      <c r="G6" s="4"/>
      <c r="H6" s="4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">
      <c r="A7" s="4" t="s">
        <v>164</v>
      </c>
      <c r="B7" s="4" t="s">
        <v>121</v>
      </c>
      <c r="C7" s="7">
        <f>C6-C5</f>
        <v>220.07997483843155</v>
      </c>
      <c r="D7" s="4"/>
      <c r="E7" s="4"/>
      <c r="F7" s="4"/>
      <c r="G7" s="4"/>
      <c r="H7" s="4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6">
      <c r="A8" s="4" t="s">
        <v>165</v>
      </c>
      <c r="B8" s="4" t="s">
        <v>166</v>
      </c>
      <c r="C8" s="27">
        <f>IF('P&amp;L'!C19&gt;=0,2027,IF('P&amp;L'!D19&gt;=0,2028,IF('P&amp;L'!E19&gt;=0,2029,IF('P&amp;L'!F19&gt;=0,2030,IF('P&amp;L'!G19&gt;=0,2031,IF('P&amp;L'!H19&gt;=0,2032,2033))))))</f>
        <v>2030</v>
      </c>
      <c r="D8" s="4"/>
      <c r="E8" s="4"/>
      <c r="F8" s="4"/>
      <c r="G8" s="4"/>
      <c r="H8" s="4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">
      <c r="A9" s="4" t="s">
        <v>167</v>
      </c>
      <c r="B9" s="4" t="s">
        <v>166</v>
      </c>
      <c r="C9" s="27">
        <f>IF('Cash Flow'!C12&gt;=0,2027,IF('Cash Flow'!D12&gt;=0,2028,IF('Cash Flow'!E12&gt;=0,2029,IF('Cash Flow'!F12&gt;=0,2030,IF('Cash Flow'!G12&gt;=0,2031,IF('Cash Flow'!H12&gt;=0,2032,2033))))))</f>
        <v>2031</v>
      </c>
      <c r="D9" s="4"/>
      <c r="E9" s="4"/>
      <c r="F9" s="4"/>
      <c r="G9" s="4"/>
      <c r="H9" s="4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6.75" customHeight="1">
      <c r="A11" s="47" t="s">
        <v>168</v>
      </c>
      <c r="B11" s="47" t="s">
        <v>168</v>
      </c>
      <c r="C11" s="47" t="s">
        <v>168</v>
      </c>
      <c r="D11" s="47" t="s">
        <v>168</v>
      </c>
      <c r="E11" s="47" t="s">
        <v>168</v>
      </c>
      <c r="F11" s="47" t="s">
        <v>168</v>
      </c>
      <c r="G11" s="47" t="s">
        <v>168</v>
      </c>
      <c r="H11" s="47" t="s">
        <v>168</v>
      </c>
      <c r="I11" s="47" t="s">
        <v>168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">
      <c r="A12" s="2" t="s">
        <v>169</v>
      </c>
      <c r="B12" s="2" t="s">
        <v>170</v>
      </c>
      <c r="C12" s="2">
        <v>2027</v>
      </c>
      <c r="D12" s="2">
        <v>2028</v>
      </c>
      <c r="E12" s="2">
        <v>2029</v>
      </c>
      <c r="F12" s="2">
        <v>2030</v>
      </c>
      <c r="G12" s="2">
        <v>2031</v>
      </c>
      <c r="H12" s="2">
        <v>2032</v>
      </c>
      <c r="I12" s="2">
        <v>2033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2">
      <c r="A13" s="4" t="s">
        <v>156</v>
      </c>
      <c r="B13" s="4" t="s">
        <v>171</v>
      </c>
      <c r="C13" s="7">
        <f>Hypothèses!C38/1000</f>
        <v>2000</v>
      </c>
      <c r="D13" s="7">
        <f>Hypothèses!D38/1000</f>
        <v>2500</v>
      </c>
      <c r="E13" s="7">
        <f>Hypothèses!E38/1000</f>
        <v>1500</v>
      </c>
      <c r="F13" s="7">
        <f>Hypothèses!F38/1000</f>
        <v>0</v>
      </c>
      <c r="G13" s="7">
        <f>Hypothèses!G38/1000</f>
        <v>0</v>
      </c>
      <c r="H13" s="7">
        <f>Hypothèses!H38/1000</f>
        <v>0</v>
      </c>
      <c r="I13" s="7">
        <f>Hypothèses!I38/1000</f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6.75" customHeight="1">
      <c r="A15" s="47" t="s">
        <v>172</v>
      </c>
      <c r="B15" s="47" t="s">
        <v>172</v>
      </c>
      <c r="C15" s="47" t="s">
        <v>172</v>
      </c>
      <c r="D15" s="47" t="s">
        <v>172</v>
      </c>
      <c r="E15" s="47" t="s">
        <v>172</v>
      </c>
      <c r="F15" s="47" t="s">
        <v>172</v>
      </c>
      <c r="G15" s="47" t="s">
        <v>172</v>
      </c>
      <c r="H15" s="47" t="s">
        <v>172</v>
      </c>
      <c r="I15" s="47" t="s">
        <v>172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6">
      <c r="A16" s="2" t="s">
        <v>173</v>
      </c>
      <c r="B16" s="2" t="s">
        <v>174</v>
      </c>
      <c r="C16" s="2" t="s">
        <v>175</v>
      </c>
      <c r="D16" s="4"/>
      <c r="E16" s="4"/>
      <c r="F16" s="4"/>
      <c r="G16" s="4"/>
      <c r="H16" s="4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2">
      <c r="A17" s="4" t="s">
        <v>176</v>
      </c>
      <c r="B17" s="4" t="s">
        <v>177</v>
      </c>
      <c r="C17" s="4" t="s">
        <v>178</v>
      </c>
      <c r="D17" s="4"/>
      <c r="E17" s="4"/>
      <c r="F17" s="4"/>
      <c r="G17" s="4"/>
      <c r="H17" s="4"/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2">
      <c r="A18" s="4" t="s">
        <v>179</v>
      </c>
      <c r="B18" s="4" t="s">
        <v>180</v>
      </c>
      <c r="C18" s="4" t="s">
        <v>181</v>
      </c>
      <c r="D18" s="4"/>
      <c r="E18" s="4"/>
      <c r="F18" s="4"/>
      <c r="G18" s="4"/>
      <c r="H18" s="4"/>
      <c r="I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6">
      <c r="A19" s="4" t="s">
        <v>182</v>
      </c>
      <c r="B19" s="4" t="s">
        <v>183</v>
      </c>
      <c r="C19" s="4" t="s">
        <v>184</v>
      </c>
      <c r="D19" s="4"/>
      <c r="E19" s="4"/>
      <c r="F19" s="4"/>
      <c r="G19" s="4"/>
      <c r="H19" s="4"/>
      <c r="I19" s="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6">
      <c r="A20" s="4" t="s">
        <v>185</v>
      </c>
      <c r="B20" s="4" t="s">
        <v>186</v>
      </c>
      <c r="C20" s="4" t="s">
        <v>187</v>
      </c>
      <c r="D20" s="4"/>
      <c r="E20" s="4"/>
      <c r="F20" s="4"/>
      <c r="G20" s="4"/>
      <c r="H20" s="4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6">
      <c r="A21" s="4" t="s">
        <v>188</v>
      </c>
      <c r="B21" s="4" t="s">
        <v>189</v>
      </c>
      <c r="C21" s="4" t="s">
        <v>190</v>
      </c>
      <c r="D21" s="4"/>
      <c r="E21" s="4"/>
      <c r="F21" s="4"/>
      <c r="G21" s="4"/>
      <c r="H21" s="4"/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5">
    <mergeCell ref="A1:I1"/>
    <mergeCell ref="A2:I2"/>
    <mergeCell ref="A3:I3"/>
    <mergeCell ref="A11:I11"/>
    <mergeCell ref="A15:I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/>
  <cols>
    <col min="1" max="1" width="26" customWidth="1"/>
    <col min="2" max="6" width="16" customWidth="1"/>
    <col min="7" max="9" width="13" customWidth="1"/>
  </cols>
  <sheetData>
    <row r="1" spans="1:26" ht="30" customHeight="1">
      <c r="A1" s="48" t="s">
        <v>191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0" customHeight="1">
      <c r="A2" s="50" t="s">
        <v>192</v>
      </c>
      <c r="B2" s="50" t="s">
        <v>192</v>
      </c>
      <c r="C2" s="50" t="s">
        <v>192</v>
      </c>
      <c r="D2" s="50" t="s">
        <v>192</v>
      </c>
      <c r="E2" s="50" t="s">
        <v>192</v>
      </c>
      <c r="F2" s="50" t="s">
        <v>192</v>
      </c>
      <c r="G2" s="50" t="s">
        <v>192</v>
      </c>
      <c r="H2" s="50" t="s">
        <v>192</v>
      </c>
      <c r="I2" s="50" t="s">
        <v>192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1" t="s">
        <v>193</v>
      </c>
      <c r="B3" s="1" t="s">
        <v>194</v>
      </c>
      <c r="C3" s="1" t="s">
        <v>195</v>
      </c>
      <c r="D3" s="1" t="s">
        <v>196</v>
      </c>
      <c r="E3" s="1" t="s">
        <v>197</v>
      </c>
      <c r="F3" s="1" t="s">
        <v>71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 t="s">
        <v>198</v>
      </c>
      <c r="B4" s="28">
        <v>0.7</v>
      </c>
      <c r="C4" s="28">
        <v>0.95</v>
      </c>
      <c r="D4" s="28">
        <v>1.07</v>
      </c>
      <c r="E4" s="28">
        <v>0.9</v>
      </c>
      <c r="F4" s="28">
        <v>0.85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199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200</v>
      </c>
      <c r="B6" s="28">
        <v>1.3</v>
      </c>
      <c r="C6" s="28">
        <v>1.02</v>
      </c>
      <c r="D6" s="28">
        <v>0.95</v>
      </c>
      <c r="E6" s="28">
        <v>1.1499999999999999</v>
      </c>
      <c r="F6" s="28">
        <v>1.1499999999999999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0" customHeight="1">
      <c r="A8" s="51" t="s">
        <v>201</v>
      </c>
      <c r="B8" s="51" t="s">
        <v>201</v>
      </c>
      <c r="C8" s="51" t="s">
        <v>201</v>
      </c>
      <c r="D8" s="51" t="s">
        <v>201</v>
      </c>
      <c r="E8" s="51" t="s">
        <v>201</v>
      </c>
      <c r="F8" s="51" t="s">
        <v>201</v>
      </c>
      <c r="G8" s="51" t="s">
        <v>201</v>
      </c>
      <c r="H8" s="51" t="s">
        <v>201</v>
      </c>
      <c r="I8" s="51" t="s">
        <v>201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1" t="s">
        <v>193</v>
      </c>
      <c r="B9" s="1" t="s">
        <v>202</v>
      </c>
      <c r="C9" s="1" t="s">
        <v>203</v>
      </c>
      <c r="D9" s="1" t="s">
        <v>204</v>
      </c>
      <c r="E9" s="1" t="s">
        <v>205</v>
      </c>
      <c r="F9" s="1" t="s">
        <v>206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 t="s">
        <v>198</v>
      </c>
      <c r="B10" s="29">
        <f>F15/1000</f>
        <v>7.836399115273049</v>
      </c>
      <c r="C10" s="29">
        <f>I15/1000</f>
        <v>34.526971108519305</v>
      </c>
      <c r="D10" s="26">
        <f>I19</f>
        <v>0.14737899905114596</v>
      </c>
      <c r="E10" s="30">
        <f>IF(C18&gt;=0,2027,IF(D18&gt;=0,2028,IF(E18&gt;=0,2029,IF(F18&gt;=0,2030,IF(G18&gt;=0,2031,IF(H18&gt;=0,2032,2033))))))</f>
        <v>2031</v>
      </c>
      <c r="F10" s="29">
        <f>-MIN(0,MIN(C24:I24))/1000</f>
        <v>8.7988010915170225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 t="s">
        <v>199</v>
      </c>
      <c r="B11" s="29">
        <f>F33/1000</f>
        <v>11.7503558789615</v>
      </c>
      <c r="C11" s="29">
        <f>I33/1000</f>
        <v>51.699244440741865</v>
      </c>
      <c r="D11" s="26">
        <f>I37</f>
        <v>0.28393756878702942</v>
      </c>
      <c r="E11" s="30">
        <f>IF(C36&gt;=0,2027,IF(D36&gt;=0,2028,IF(E36&gt;=0,2029,IF(F36&gt;=0,2030,IF(G36&gt;=0,2031,IF(H36&gt;=0,2032,2033))))))</f>
        <v>2030</v>
      </c>
      <c r="F11" s="29">
        <f>-MIN(0,MIN(C42:I42))/1000</f>
        <v>5.7799200251615677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0" customHeight="1">
      <c r="A12" s="51" t="s">
        <v>200</v>
      </c>
      <c r="B12" s="52">
        <f>F51/1000</f>
        <v>15.56432264264995</v>
      </c>
      <c r="C12" s="52">
        <f>I51/1000</f>
        <v>68.444017772964429</v>
      </c>
      <c r="D12" s="53">
        <f>I55</f>
        <v>0.34559141728764831</v>
      </c>
      <c r="E12" s="54">
        <f>IF(C54&gt;=0,2027,IF(D54&gt;=0,2028,IF(E54&gt;=0,2029,IF(F54&gt;=0,2030,IF(G54&gt;=0,2031,IF(H54&gt;=0,2032,2033))))))</f>
        <v>2030</v>
      </c>
      <c r="F12" s="52">
        <f>-MIN(0,MIN(C60:I60))/1000</f>
        <v>5.1112532710283558</v>
      </c>
      <c r="G12" s="51" t="s">
        <v>207</v>
      </c>
      <c r="H12" s="51" t="s">
        <v>207</v>
      </c>
      <c r="I12" s="51" t="s">
        <v>207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1" t="s">
        <v>76</v>
      </c>
      <c r="B13" s="1" t="s">
        <v>5</v>
      </c>
      <c r="C13" s="1">
        <v>2027</v>
      </c>
      <c r="D13" s="1">
        <v>2028</v>
      </c>
      <c r="E13" s="1">
        <v>2029</v>
      </c>
      <c r="F13" s="1">
        <v>2030</v>
      </c>
      <c r="G13" s="1">
        <v>2031</v>
      </c>
      <c r="H13" s="1">
        <v>2032</v>
      </c>
      <c r="I13" s="1">
        <v>2033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 t="s">
        <v>208</v>
      </c>
      <c r="B14" s="5" t="s">
        <v>56</v>
      </c>
      <c r="C14" s="16">
        <f>Ventes!C7*$B$4</f>
        <v>10.5</v>
      </c>
      <c r="D14" s="16">
        <f>Ventes!D7*$B$4</f>
        <v>84</v>
      </c>
      <c r="E14" s="16">
        <f>Ventes!E7*$B$4</f>
        <v>315</v>
      </c>
      <c r="F14" s="16">
        <f>Ventes!F7*$B$4</f>
        <v>770</v>
      </c>
      <c r="G14" s="16">
        <f>Ventes!G7*$B$4</f>
        <v>1540</v>
      </c>
      <c r="H14" s="16">
        <f>Ventes!H7*$B$4</f>
        <v>2450</v>
      </c>
      <c r="I14" s="16">
        <f>Ventes!I7*$B$4</f>
        <v>3500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 t="s">
        <v>209</v>
      </c>
      <c r="B15" s="5" t="s">
        <v>121</v>
      </c>
      <c r="C15" s="16">
        <f>((Ventes!C9*$B$4*$C$4)+(Ventes!C16*$B$4)+(Ventes!C17*$B$4))/1000</f>
        <v>79.8</v>
      </c>
      <c r="D15" s="16">
        <f>((Ventes!D9*$B$4*$C$4)+(Ventes!D16*$B$4)+(Ventes!D17*$B$4))/1000</f>
        <v>887.03247499999998</v>
      </c>
      <c r="E15" s="16">
        <f>((Ventes!E9*$B$4*$C$4)+(Ventes!E16*$B$4)+(Ventes!E17*$B$4))/1000</f>
        <v>3259.3534008000001</v>
      </c>
      <c r="F15" s="16">
        <f>((Ventes!F9*$B$4*$C$4)+(Ventes!F16*$B$4)+(Ventes!F17*$B$4))/1000</f>
        <v>7836.3991152730487</v>
      </c>
      <c r="G15" s="16">
        <f>((Ventes!G9*$B$4*$C$4)+(Ventes!G16*$B$4)+(Ventes!G17*$B$4))/1000</f>
        <v>15445.512598771596</v>
      </c>
      <c r="H15" s="16">
        <f>((Ventes!H9*$B$4*$C$4)+(Ventes!H16*$B$4)+(Ventes!H17*$B$4))/1000</f>
        <v>24344.418941723059</v>
      </c>
      <c r="I15" s="16">
        <f>((Ventes!I9*$B$4*$C$4)+(Ventes!I16*$B$4)+(Ventes!I17*$B$4))/1000</f>
        <v>34526.971108519305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 t="s">
        <v>127</v>
      </c>
      <c r="B16" s="5" t="s">
        <v>121</v>
      </c>
      <c r="C16" s="16">
        <f>(((Ventes!C9*$B$4*$C$4)-(Ventes!C7*Hypothèses!C28*$B$4*$D$4))+(Ventes!C16*$B$4*Hypothèses!$B$11)+(Ventes!C17*$B$4*Hypothèses!$B$10))/1000</f>
        <v>-15.6975</v>
      </c>
      <c r="D16" s="16">
        <f>(((Ventes!D9*$B$4*$C$4)-(Ventes!D7*Hypothèses!D28*$B$4*$D$4))+(Ventes!D16*$B$4*Hypothèses!$B$11)+(Ventes!D17*$B$4*Hypothèses!$B$10))/1000</f>
        <v>284.94260374999999</v>
      </c>
      <c r="E16" s="16">
        <f>(((Ventes!E9*$B$4*$C$4)-(Ventes!E7*Hypothèses!E28*$B$4*$D$4))+(Ventes!E16*$B$4*Hypothèses!$B$11)+(Ventes!E17*$B$4*Hypothèses!$B$10))/1000</f>
        <v>1145.2866406800001</v>
      </c>
      <c r="F16" s="16">
        <f>(((Ventes!F9*$B$4*$C$4)-(Ventes!F7*Hypothèses!F28*$B$4*$D$4))+(Ventes!F16*$B$4*Hypothèses!$B$11)+(Ventes!F17*$B$4*Hypothèses!$B$10))/1000</f>
        <v>3009.9317479820916</v>
      </c>
      <c r="G16" s="16">
        <f>(((Ventes!G9*$B$4*$C$4)-(Ventes!G7*Hypothèses!G28*$B$4*$D$4))+(Ventes!G16*$B$4*Hypothèses!$B$11)+(Ventes!G17*$B$4*Hypothèses!$B$10))/1000</f>
        <v>6298.1207089558557</v>
      </c>
      <c r="H16" s="16">
        <f>(((Ventes!H9*$B$4*$C$4)-(Ventes!H7*Hypothèses!H28*$B$4*$D$4))+(Ventes!H16*$B$4*Hypothèses!$B$11)+(Ventes!H17*$B$4*Hypothèses!$B$10))/1000</f>
        <v>10562.618600464601</v>
      </c>
      <c r="I16" s="16">
        <f>(((Ventes!I9*$B$4*$C$4)-(Ventes!I7*Hypothèses!I28*$B$4*$D$4))+(Ventes!I16*$B$4*Hypothèses!$B$11)+(Ventes!I17*$B$4*Hypothèses!$B$10))/1000</f>
        <v>15546.550442241411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 t="s">
        <v>197</v>
      </c>
      <c r="B17" s="5" t="s">
        <v>121</v>
      </c>
      <c r="C17" s="16">
        <f>'P&amp;L'!C18*$E$4</f>
        <v>990</v>
      </c>
      <c r="D17" s="16">
        <f>'P&amp;L'!D18*$E$4</f>
        <v>1641.6000000000001</v>
      </c>
      <c r="E17" s="16">
        <f>'P&amp;L'!E18*$E$4</f>
        <v>2511</v>
      </c>
      <c r="F17" s="16">
        <f>'P&amp;L'!F18*$E$4</f>
        <v>3873.6</v>
      </c>
      <c r="G17" s="16">
        <f>'P&amp;L'!G18*$E$4</f>
        <v>5796</v>
      </c>
      <c r="H17" s="16">
        <f>'P&amp;L'!H18*$E$4</f>
        <v>8100</v>
      </c>
      <c r="I17" s="16">
        <f>'P&amp;L'!I18*$E$4</f>
        <v>10458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 t="s">
        <v>131</v>
      </c>
      <c r="B18" s="5" t="s">
        <v>121</v>
      </c>
      <c r="C18" s="16">
        <f t="shared" ref="C18:I18" si="0">C16-C17</f>
        <v>-1005.6975</v>
      </c>
      <c r="D18" s="16">
        <f t="shared" si="0"/>
        <v>-1356.6573962500001</v>
      </c>
      <c r="E18" s="16">
        <f t="shared" si="0"/>
        <v>-1365.7133593199999</v>
      </c>
      <c r="F18" s="16">
        <f t="shared" si="0"/>
        <v>-863.66825201790834</v>
      </c>
      <c r="G18" s="16">
        <f t="shared" si="0"/>
        <v>502.12070895585566</v>
      </c>
      <c r="H18" s="16">
        <f t="shared" si="0"/>
        <v>2462.6186004646006</v>
      </c>
      <c r="I18" s="16">
        <f t="shared" si="0"/>
        <v>5088.5504422414106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 t="s">
        <v>132</v>
      </c>
      <c r="B19" s="5" t="s">
        <v>9</v>
      </c>
      <c r="C19" s="20">
        <f t="shared" ref="C19:I19" si="1">C18/C15</f>
        <v>-12.602725563909775</v>
      </c>
      <c r="D19" s="20">
        <f t="shared" si="1"/>
        <v>-1.5294337405741545</v>
      </c>
      <c r="E19" s="20">
        <f t="shared" si="1"/>
        <v>-0.4190135868619797</v>
      </c>
      <c r="F19" s="20">
        <f t="shared" si="1"/>
        <v>-0.11021238700497391</v>
      </c>
      <c r="G19" s="20">
        <f t="shared" si="1"/>
        <v>3.250916444144366E-2</v>
      </c>
      <c r="H19" s="20">
        <f t="shared" si="1"/>
        <v>0.10115741954489633</v>
      </c>
      <c r="I19" s="20">
        <f t="shared" si="1"/>
        <v>0.14737899905114596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 t="s">
        <v>210</v>
      </c>
      <c r="B20" s="5" t="s">
        <v>121</v>
      </c>
      <c r="C20" s="16">
        <f>(C15*Hypothèses!$B$6/365)+((Ventes!C7*Hypothèses!C28*$B$4*$D$4/1000)*Hypothèses!$B$7/365)-(((C15-C16)*Hypothèses!$B$8/365))</f>
        <v>13.76291095890411</v>
      </c>
      <c r="D20" s="16">
        <f>(D15*Hypothèses!$B$6/365)+((Ventes!D7*Hypothèses!D28*$B$4*$D$4/1000)*Hypothèses!$B$7/365)-(((D15-D16)*Hypothèses!$B$8/365))</f>
        <v>131.16607443493155</v>
      </c>
      <c r="E20" s="16">
        <f>(E15*Hypothèses!$B$6/365)+((Ventes!E7*Hypothèses!E28*$B$4*$D$4/1000)*Hypothèses!$B$7/365)-(((E15-E16)*Hypothèses!$B$8/365))</f>
        <v>479.17314748109573</v>
      </c>
      <c r="F20" s="16">
        <f>(F15*Hypothèses!$B$6/365)+((Ventes!F7*Hypothèses!F28*$B$4*$D$4/1000)*Hypothèses!$B$7/365)-(((F15-F16)*Hypothèses!$B$8/365))</f>
        <v>1143.0704894772439</v>
      </c>
      <c r="G20" s="16">
        <f>(G15*Hypothèses!$B$6/365)+((Ventes!G7*Hypothèses!G28*$B$4*$D$4/1000)*Hypothèses!$B$7/365)-(((G15-G16)*Hypothèses!$B$8/365))</f>
        <v>2239.1852928849685</v>
      </c>
      <c r="H20" s="16">
        <f>(H15*Hypothèses!$B$6/365)+((Ventes!H7*Hypothèses!H28*$B$4*$D$4/1000)*Hypothèses!$B$7/365)-(((H15-H16)*Hypothèses!$B$8/365))</f>
        <v>3499.9913343038547</v>
      </c>
      <c r="I20" s="16">
        <f>(I15*Hypothèses!$B$6/365)+((Ventes!I7*Hypothèses!I28*$B$4*$D$4/1000)*Hypothèses!$B$7/365)-(((I15-I16)*Hypothèses!$B$8/365))</f>
        <v>4933.2185476735995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 t="s">
        <v>153</v>
      </c>
      <c r="B21" s="5" t="s">
        <v>121</v>
      </c>
      <c r="C21" s="16">
        <f>C20</f>
        <v>13.76291095890411</v>
      </c>
      <c r="D21" s="16">
        <f t="shared" ref="D21:I21" si="2">D20-C20</f>
        <v>117.40316347602743</v>
      </c>
      <c r="E21" s="16">
        <f t="shared" si="2"/>
        <v>348.00707304616418</v>
      </c>
      <c r="F21" s="16">
        <f t="shared" si="2"/>
        <v>663.89734199614816</v>
      </c>
      <c r="G21" s="16">
        <f t="shared" si="2"/>
        <v>1096.1148034077246</v>
      </c>
      <c r="H21" s="16">
        <f t="shared" si="2"/>
        <v>1260.8060414188863</v>
      </c>
      <c r="I21" s="16">
        <f t="shared" si="2"/>
        <v>1433.2272133697447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 t="s">
        <v>71</v>
      </c>
      <c r="B22" s="5" t="s">
        <v>121</v>
      </c>
      <c r="C22" s="16">
        <f>Hypothèses!C37*$F$4/1000</f>
        <v>297.5</v>
      </c>
      <c r="D22" s="16">
        <f>Hypothèses!D37*$F$4/1000</f>
        <v>382.5</v>
      </c>
      <c r="E22" s="16">
        <f>Hypothèses!E37*$F$4/1000</f>
        <v>510</v>
      </c>
      <c r="F22" s="16">
        <f>Hypothèses!F37*$F$4/1000</f>
        <v>680</v>
      </c>
      <c r="G22" s="16">
        <f>Hypothèses!G37*$F$4/1000</f>
        <v>850</v>
      </c>
      <c r="H22" s="16">
        <f>Hypothèses!H37*$F$4/1000</f>
        <v>1020</v>
      </c>
      <c r="I22" s="16">
        <f>Hypothèses!I37*$F$4/1000</f>
        <v>1190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 t="s">
        <v>211</v>
      </c>
      <c r="B23" s="5" t="s">
        <v>121</v>
      </c>
      <c r="C23" s="16">
        <f t="shared" ref="C23:I23" si="3">C18-C21-C22</f>
        <v>-1316.960410958904</v>
      </c>
      <c r="D23" s="16">
        <f t="shared" si="3"/>
        <v>-1856.5605597260276</v>
      </c>
      <c r="E23" s="16">
        <f t="shared" si="3"/>
        <v>-2223.720432366164</v>
      </c>
      <c r="F23" s="16">
        <f t="shared" si="3"/>
        <v>-2207.5655940140564</v>
      </c>
      <c r="G23" s="16">
        <f t="shared" si="3"/>
        <v>-1443.9940944518689</v>
      </c>
      <c r="H23" s="16">
        <f t="shared" si="3"/>
        <v>181.81255904571435</v>
      </c>
      <c r="I23" s="16">
        <f t="shared" si="3"/>
        <v>2465.3232288716658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 t="s">
        <v>212</v>
      </c>
      <c r="B24" s="5" t="s">
        <v>121</v>
      </c>
      <c r="C24" s="16">
        <f>Hypothèses!$B$12/1000+C23</f>
        <v>-1066.960410958904</v>
      </c>
      <c r="D24" s="16">
        <f t="shared" ref="D24:I24" si="4">C24+D23</f>
        <v>-2923.5209706849319</v>
      </c>
      <c r="E24" s="16">
        <f t="shared" si="4"/>
        <v>-5147.2414030510954</v>
      </c>
      <c r="F24" s="16">
        <f t="shared" si="4"/>
        <v>-7354.8069970651522</v>
      </c>
      <c r="G24" s="16">
        <f t="shared" si="4"/>
        <v>-8798.8010915170216</v>
      </c>
      <c r="H24" s="16">
        <f t="shared" si="4"/>
        <v>-8616.9885324713068</v>
      </c>
      <c r="I24" s="16">
        <f t="shared" si="4"/>
        <v>-6151.6653035996405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0" customHeight="1">
      <c r="A30" s="51" t="s">
        <v>213</v>
      </c>
      <c r="B30" s="51" t="s">
        <v>213</v>
      </c>
      <c r="C30" s="51" t="s">
        <v>213</v>
      </c>
      <c r="D30" s="51" t="s">
        <v>213</v>
      </c>
      <c r="E30" s="51" t="s">
        <v>213</v>
      </c>
      <c r="F30" s="51" t="s">
        <v>213</v>
      </c>
      <c r="G30" s="51" t="s">
        <v>213</v>
      </c>
      <c r="H30" s="51" t="s">
        <v>213</v>
      </c>
      <c r="I30" s="51" t="s">
        <v>213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1" t="s">
        <v>76</v>
      </c>
      <c r="B31" s="1" t="s">
        <v>5</v>
      </c>
      <c r="C31" s="1">
        <v>2027</v>
      </c>
      <c r="D31" s="1">
        <v>2028</v>
      </c>
      <c r="E31" s="1">
        <v>2029</v>
      </c>
      <c r="F31" s="1">
        <v>2030</v>
      </c>
      <c r="G31" s="1">
        <v>2031</v>
      </c>
      <c r="H31" s="1">
        <v>2032</v>
      </c>
      <c r="I31" s="1">
        <v>2033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 t="s">
        <v>208</v>
      </c>
      <c r="B32" s="5" t="s">
        <v>56</v>
      </c>
      <c r="C32" s="16">
        <f>Ventes!C7*$B$5</f>
        <v>15</v>
      </c>
      <c r="D32" s="16">
        <f>Ventes!D7*$B$5</f>
        <v>120</v>
      </c>
      <c r="E32" s="16">
        <f>Ventes!E7*$B$5</f>
        <v>450</v>
      </c>
      <c r="F32" s="16">
        <f>Ventes!F7*$B$5</f>
        <v>1100</v>
      </c>
      <c r="G32" s="16">
        <f>Ventes!G7*$B$5</f>
        <v>2200</v>
      </c>
      <c r="H32" s="16">
        <f>Ventes!H7*$B$5</f>
        <v>3500</v>
      </c>
      <c r="I32" s="16">
        <f>Ventes!I7*$B$5</f>
        <v>5000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 t="s">
        <v>209</v>
      </c>
      <c r="B33" s="5" t="s">
        <v>121</v>
      </c>
      <c r="C33" s="16">
        <f>((Ventes!C9*$B$5*$C$5)+(Ventes!C16*$B$5)+(Ventes!C17*$B$5))/1000</f>
        <v>120</v>
      </c>
      <c r="D33" s="16">
        <f>((Ventes!D9*$B$5*$C$5)+(Ventes!D16*$B$5)+(Ventes!D17*$B$5))/1000</f>
        <v>1330.1892499999999</v>
      </c>
      <c r="E33" s="16">
        <f>((Ventes!E9*$B$5*$C$5)+(Ventes!E16*$B$5)+(Ventes!E17*$B$5))/1000</f>
        <v>4887.9691440000006</v>
      </c>
      <c r="F33" s="16">
        <f>((Ventes!F9*$B$5*$C$5)+(Ventes!F16*$B$5)+(Ventes!F17*$B$5))/1000</f>
        <v>11750.3558789615</v>
      </c>
      <c r="G33" s="16">
        <f>((Ventes!G9*$B$5*$C$5)+(Ventes!G16*$B$5)+(Ventes!G17*$B$5))/1000</f>
        <v>23154.017998245137</v>
      </c>
      <c r="H33" s="16">
        <f>((Ventes!H9*$B$5*$C$5)+(Ventes!H16*$B$5)+(Ventes!H17*$B$5))/1000</f>
        <v>36475.24134531866</v>
      </c>
      <c r="I33" s="16">
        <f>((Ventes!I9*$B$5*$C$5)+(Ventes!I16*$B$5)+(Ventes!I17*$B$5))/1000</f>
        <v>51699.244440741866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 t="s">
        <v>127</v>
      </c>
      <c r="B34" s="5" t="s">
        <v>121</v>
      </c>
      <c r="C34" s="16">
        <f>(((Ventes!C9*$B$5*$C$5)-(Ventes!C7*Hypothèses!C28*$B$5*$D$5))+(Ventes!C16*$B$5*Hypothèses!$B$11)+(Ventes!C17*$B$5*Hypothèses!$B$10))/1000</f>
        <v>-7.5</v>
      </c>
      <c r="D34" s="16">
        <f>(((Ventes!D9*$B$5*$C$5)-(Ventes!D7*Hypothèses!D28*$B$5*$D$5))+(Ventes!D16*$B$5*Hypothèses!$B$11)+(Ventes!D17*$B$5*Hypothèses!$B$10))/1000</f>
        <v>524.66086250000001</v>
      </c>
      <c r="E34" s="16">
        <f>(((Ventes!E9*$B$5*$C$5)-(Ventes!E7*Hypothèses!E28*$B$5*$D$5))+(Ventes!E16*$B$5*Hypothèses!$B$11)+(Ventes!E17*$B$5*Hypothèses!$B$10))/1000</f>
        <v>2060.0237723999999</v>
      </c>
      <c r="F34" s="16">
        <f>(((Ventes!F9*$B$5*$C$5)-(Ventes!F7*Hypothèses!F28*$B$5*$D$5))+(Ventes!F16*$B$5*Hypothèses!$B$11)+(Ventes!F17*$B$5*Hypothèses!$B$10))/1000</f>
        <v>5294.3024971172754</v>
      </c>
      <c r="G34" s="16">
        <f>(((Ventes!G9*$B$5*$C$5)-(Ventes!G7*Hypothèses!G28*$B$5*$D$5))+(Ventes!G16*$B$5*Hypothèses!$B$11)+(Ventes!G17*$B$5*Hypothèses!$B$10))/1000</f>
        <v>10917.915298508369</v>
      </c>
      <c r="H34" s="16">
        <f>(((Ventes!H9*$B$5*$C$5)-(Ventes!H7*Hypothèses!H28*$B$5*$D$5))+(Ventes!H16*$B$5*Hypothèses!$B$11)+(Ventes!H17*$B$5*Hypothèses!$B$10))/1000</f>
        <v>18036.455143520863</v>
      </c>
      <c r="I34" s="16">
        <f>(((Ventes!I9*$B$5*$C$5)-(Ventes!I7*Hypothèses!I28*$B$5*$D$5))+(Ventes!I16*$B$5*Hypothèses!$B$11)+(Ventes!I17*$B$5*Hypothèses!$B$10))/1000</f>
        <v>26299.357774630593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 t="s">
        <v>197</v>
      </c>
      <c r="B35" s="5" t="s">
        <v>121</v>
      </c>
      <c r="C35" s="16">
        <f>'P&amp;L'!C18*$E$5</f>
        <v>1100</v>
      </c>
      <c r="D35" s="16">
        <f>'P&amp;L'!D18*$E$5</f>
        <v>1824</v>
      </c>
      <c r="E35" s="16">
        <f>'P&amp;L'!E18*$E$5</f>
        <v>2790</v>
      </c>
      <c r="F35" s="16">
        <f>'P&amp;L'!F18*$E$5</f>
        <v>4304</v>
      </c>
      <c r="G35" s="16">
        <f>'P&amp;L'!G18*$E$5</f>
        <v>6440</v>
      </c>
      <c r="H35" s="16">
        <f>'P&amp;L'!H18*$E$5</f>
        <v>9000</v>
      </c>
      <c r="I35" s="16">
        <f>'P&amp;L'!I18*$E$5</f>
        <v>11620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 t="s">
        <v>131</v>
      </c>
      <c r="B36" s="5" t="s">
        <v>121</v>
      </c>
      <c r="C36" s="16">
        <f t="shared" ref="C36:I36" si="5">C34-C35</f>
        <v>-1107.5</v>
      </c>
      <c r="D36" s="16">
        <f t="shared" si="5"/>
        <v>-1299.3391375000001</v>
      </c>
      <c r="E36" s="16">
        <f t="shared" si="5"/>
        <v>-729.97622760000013</v>
      </c>
      <c r="F36" s="16">
        <f t="shared" si="5"/>
        <v>990.30249711727538</v>
      </c>
      <c r="G36" s="16">
        <f t="shared" si="5"/>
        <v>4477.9152985083692</v>
      </c>
      <c r="H36" s="16">
        <f t="shared" si="5"/>
        <v>9036.4551435208632</v>
      </c>
      <c r="I36" s="16">
        <f t="shared" si="5"/>
        <v>14679.357774630593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 t="s">
        <v>132</v>
      </c>
      <c r="B37" s="5" t="s">
        <v>9</v>
      </c>
      <c r="C37" s="20">
        <f t="shared" ref="C37:I37" si="6">C36/C33</f>
        <v>-9.2291666666666661</v>
      </c>
      <c r="D37" s="20">
        <f t="shared" si="6"/>
        <v>-0.97680772679526628</v>
      </c>
      <c r="E37" s="20">
        <f t="shared" si="6"/>
        <v>-0.14934141482788379</v>
      </c>
      <c r="F37" s="20">
        <f t="shared" si="6"/>
        <v>8.4278510993047354E-2</v>
      </c>
      <c r="G37" s="20">
        <f t="shared" si="6"/>
        <v>0.19339689978852717</v>
      </c>
      <c r="H37" s="20">
        <f t="shared" si="6"/>
        <v>0.24774216181247088</v>
      </c>
      <c r="I37" s="20">
        <f t="shared" si="6"/>
        <v>0.28393756878702942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 t="s">
        <v>210</v>
      </c>
      <c r="B38" s="5" t="s">
        <v>121</v>
      </c>
      <c r="C38" s="16">
        <f>(C33*Hypothèses!$B$6/365)+((Ventes!C7*Hypothèses!C28*$B$5*$D$5/1000)*Hypothèses!$B$7/365)-(((C33-C34)*Hypothèses!$B$8/365))</f>
        <v>20.034246575342465</v>
      </c>
      <c r="D38" s="16">
        <f>(D33*Hypothèses!$B$6/365)+((Ventes!D7*Hypothèses!D28*$B$5*$D$5/1000)*Hypothèses!$B$7/365)-(((D33-D34)*Hypothèses!$B$8/365))</f>
        <v>192.90339400684931</v>
      </c>
      <c r="E38" s="16">
        <f>(E33*Hypothèses!$B$6/365)+((Ventes!E7*Hypothèses!E28*$B$5*$D$5/1000)*Hypothèses!$B$7/365)-(((E33-E34)*Hypothèses!$B$8/365))</f>
        <v>705.20841029589042</v>
      </c>
      <c r="F38" s="16">
        <f>(F33*Hypothèses!$B$6/365)+((Ventes!F7*Hypothèses!F28*$B$5*$D$5/1000)*Hypothèses!$B$7/365)-(((F33-F34)*Hypothèses!$B$8/365))</f>
        <v>1683.4071571788425</v>
      </c>
      <c r="G38" s="16">
        <f>(G33*Hypothèses!$B$6/365)+((Ventes!G7*Hypothèses!G28*$B$5*$D$5/1000)*Hypothèses!$B$7/365)-(((G33-G34)*Hypothèses!$B$8/365))</f>
        <v>3298.9210641996615</v>
      </c>
      <c r="H38" s="16">
        <f>(H33*Hypothèses!$B$6/365)+((Ventes!H7*Hypothèses!H28*$B$5*$D$5/1000)*Hypothèses!$B$7/365)-(((H33-H34)*Hypothèses!$B$8/365))</f>
        <v>5157.9191272833941</v>
      </c>
      <c r="I38" s="16">
        <f>(I33*Hypothèses!$B$6/365)+((Ventes!I7*Hypothèses!I28*$B$5*$D$5/1000)*Hypothèses!$B$7/365)-(((I33-I34)*Hypothèses!$B$8/365))</f>
        <v>7269.7838352284298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 t="s">
        <v>153</v>
      </c>
      <c r="B39" s="5" t="s">
        <v>121</v>
      </c>
      <c r="C39" s="16">
        <f>C38</f>
        <v>20.034246575342465</v>
      </c>
      <c r="D39" s="16">
        <f t="shared" ref="D39:I39" si="7">D38-C38</f>
        <v>172.86914743150686</v>
      </c>
      <c r="E39" s="16">
        <f t="shared" si="7"/>
        <v>512.30501628904108</v>
      </c>
      <c r="F39" s="16">
        <f t="shared" si="7"/>
        <v>978.19874688295204</v>
      </c>
      <c r="G39" s="16">
        <f t="shared" si="7"/>
        <v>1615.513907020819</v>
      </c>
      <c r="H39" s="16">
        <f t="shared" si="7"/>
        <v>1858.9980630837326</v>
      </c>
      <c r="I39" s="16">
        <f t="shared" si="7"/>
        <v>2111.8647079450357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 t="s">
        <v>71</v>
      </c>
      <c r="B40" s="5" t="s">
        <v>121</v>
      </c>
      <c r="C40" s="16">
        <f>Hypothèses!C37*$F$5/1000</f>
        <v>350</v>
      </c>
      <c r="D40" s="16">
        <f>Hypothèses!D37*$F$5/1000</f>
        <v>450</v>
      </c>
      <c r="E40" s="16">
        <f>Hypothèses!E37*$F$5/1000</f>
        <v>600</v>
      </c>
      <c r="F40" s="16">
        <f>Hypothèses!F37*$F$5/1000</f>
        <v>800</v>
      </c>
      <c r="G40" s="16">
        <f>Hypothèses!G37*$F$5/1000</f>
        <v>1000</v>
      </c>
      <c r="H40" s="16">
        <f>Hypothèses!H37*$F$5/1000</f>
        <v>1200</v>
      </c>
      <c r="I40" s="16">
        <f>Hypothèses!I37*$F$5/1000</f>
        <v>1400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 t="s">
        <v>211</v>
      </c>
      <c r="B41" s="5" t="s">
        <v>121</v>
      </c>
      <c r="C41" s="16">
        <f t="shared" ref="C41:I41" si="8">C36-C39-C40</f>
        <v>-1477.5342465753424</v>
      </c>
      <c r="D41" s="16">
        <f t="shared" si="8"/>
        <v>-1922.208284931507</v>
      </c>
      <c r="E41" s="16">
        <f t="shared" si="8"/>
        <v>-1842.2812438890412</v>
      </c>
      <c r="F41" s="16">
        <f t="shared" si="8"/>
        <v>-787.89624976567666</v>
      </c>
      <c r="G41" s="16">
        <f t="shared" si="8"/>
        <v>1862.4013914875504</v>
      </c>
      <c r="H41" s="16">
        <f t="shared" si="8"/>
        <v>5977.4570804371306</v>
      </c>
      <c r="I41" s="16">
        <f t="shared" si="8"/>
        <v>11167.493066685558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 t="s">
        <v>212</v>
      </c>
      <c r="B42" s="5" t="s">
        <v>121</v>
      </c>
      <c r="C42" s="16">
        <f>Hypothèses!$B$12/1000+C41</f>
        <v>-1227.5342465753424</v>
      </c>
      <c r="D42" s="16">
        <f t="shared" ref="D42:I42" si="9">C42+D41</f>
        <v>-3149.7425315068494</v>
      </c>
      <c r="E42" s="16">
        <f t="shared" si="9"/>
        <v>-4992.0237753958909</v>
      </c>
      <c r="F42" s="16">
        <f t="shared" si="9"/>
        <v>-5779.9200251615675</v>
      </c>
      <c r="G42" s="16">
        <f t="shared" si="9"/>
        <v>-3917.5186336740171</v>
      </c>
      <c r="H42" s="16">
        <f t="shared" si="9"/>
        <v>2059.9384467631135</v>
      </c>
      <c r="I42" s="16">
        <f t="shared" si="9"/>
        <v>13227.431513448671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0" customHeight="1">
      <c r="A48" s="51" t="s">
        <v>214</v>
      </c>
      <c r="B48" s="51" t="s">
        <v>214</v>
      </c>
      <c r="C48" s="51" t="s">
        <v>214</v>
      </c>
      <c r="D48" s="51" t="s">
        <v>214</v>
      </c>
      <c r="E48" s="51" t="s">
        <v>214</v>
      </c>
      <c r="F48" s="51" t="s">
        <v>214</v>
      </c>
      <c r="G48" s="51" t="s">
        <v>214</v>
      </c>
      <c r="H48" s="51" t="s">
        <v>214</v>
      </c>
      <c r="I48" s="51" t="s">
        <v>214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1" t="s">
        <v>76</v>
      </c>
      <c r="B49" s="1" t="s">
        <v>5</v>
      </c>
      <c r="C49" s="1">
        <v>2027</v>
      </c>
      <c r="D49" s="1">
        <v>2028</v>
      </c>
      <c r="E49" s="1">
        <v>2029</v>
      </c>
      <c r="F49" s="1">
        <v>2030</v>
      </c>
      <c r="G49" s="1">
        <v>2031</v>
      </c>
      <c r="H49" s="1">
        <v>2032</v>
      </c>
      <c r="I49" s="1">
        <v>2033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 t="s">
        <v>208</v>
      </c>
      <c r="B50" s="5" t="s">
        <v>56</v>
      </c>
      <c r="C50" s="16">
        <f>Ventes!C7*$B$6</f>
        <v>19.5</v>
      </c>
      <c r="D50" s="16">
        <f>Ventes!D7*$B$6</f>
        <v>156</v>
      </c>
      <c r="E50" s="16">
        <f>Ventes!E7*$B$6</f>
        <v>585</v>
      </c>
      <c r="F50" s="16">
        <f>Ventes!F7*$B$6</f>
        <v>1430</v>
      </c>
      <c r="G50" s="16">
        <f>Ventes!G7*$B$6</f>
        <v>2860</v>
      </c>
      <c r="H50" s="16">
        <f>Ventes!H7*$B$6</f>
        <v>4550</v>
      </c>
      <c r="I50" s="16">
        <f>Ventes!I7*$B$6</f>
        <v>6500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 t="s">
        <v>209</v>
      </c>
      <c r="B51" s="5" t="s">
        <v>121</v>
      </c>
      <c r="C51" s="16">
        <f>((Ventes!C9*$B$6*$C$6)+(Ventes!C16*$B$6)+(Ventes!C17*$B$6))/1000</f>
        <v>159.12</v>
      </c>
      <c r="D51" s="16">
        <f>((Ventes!D9*$B$6*$C$6)+(Ventes!D16*$B$6)+(Ventes!D17*$B$6))/1000</f>
        <v>1762.0060249999999</v>
      </c>
      <c r="E51" s="16">
        <f>((Ventes!E9*$B$6*$C$6)+(Ventes!E16*$B$6)+(Ventes!E17*$B$6))/1000</f>
        <v>6474.8698871999995</v>
      </c>
      <c r="F51" s="16">
        <f>((Ventes!F9*$B$6*$C$6)+(Ventes!F16*$B$6)+(Ventes!F17*$B$6))/1000</f>
        <v>15564.32264264995</v>
      </c>
      <c r="G51" s="16">
        <f>((Ventes!G9*$B$6*$C$6)+(Ventes!G16*$B$6)+(Ventes!G17*$B$6))/1000</f>
        <v>30666.503397718683</v>
      </c>
      <c r="H51" s="16">
        <f>((Ventes!H9*$B$6*$C$6)+(Ventes!H16*$B$6)+(Ventes!H17*$B$6))/1000</f>
        <v>48300.513748914258</v>
      </c>
      <c r="I51" s="16">
        <f>((Ventes!I9*$B$6*$C$6)+(Ventes!I16*$B$6)+(Ventes!I17*$B$6))/1000</f>
        <v>68444.017772964435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 t="s">
        <v>127</v>
      </c>
      <c r="B52" s="5" t="s">
        <v>121</v>
      </c>
      <c r="C52" s="16">
        <f>(((Ventes!C9*$B$6*$C$6)-(Ventes!C7*Hypothèses!C28*$B$6*$D$6))+(Ventes!C16*$B$6*Hypothèses!$B$11)+(Ventes!C17*$B$6*Hypothèses!$B$10))/1000</f>
        <v>1.6575</v>
      </c>
      <c r="D52" s="16">
        <f>(((Ventes!D9*$B$6*$C$6)-(Ventes!D7*Hypothèses!D28*$B$6*$D$6))+(Ventes!D16*$B$6*Hypothèses!$B$11)+(Ventes!D17*$B$6*Hypothèses!$B$10))/1000</f>
        <v>765.51912125000001</v>
      </c>
      <c r="E52" s="16">
        <f>(((Ventes!E9*$B$6*$C$6)-(Ventes!E7*Hypothèses!E28*$B$6*$D$6))+(Ventes!E16*$B$6*Hypothèses!$B$11)+(Ventes!E17*$B$6*Hypothèses!$B$10))/1000</f>
        <v>2976.9659041200002</v>
      </c>
      <c r="F52" s="16">
        <f>(((Ventes!F9*$B$6*$C$6)-(Ventes!F7*Hypothèses!F28*$B$6*$D$6))+(Ventes!F16*$B$6*Hypothèses!$B$11)+(Ventes!F17*$B$6*Hypothèses!$B$10))/1000</f>
        <v>7579.0032462524578</v>
      </c>
      <c r="G52" s="16">
        <f>(((Ventes!G9*$B$6*$C$6)-(Ventes!G7*Hypothèses!G28*$B$6*$D$6))+(Ventes!G16*$B$6*Hypothèses!$B$11)+(Ventes!G17*$B$6*Hypothèses!$B$10))/1000</f>
        <v>15531.769888060879</v>
      </c>
      <c r="H52" s="16">
        <f>(((Ventes!H9*$B$6*$C$6)-(Ventes!H7*Hypothèses!H28*$B$6*$D$6))+(Ventes!H16*$B$6*Hypothèses!$B$11)+(Ventes!H17*$B$6*Hypothèses!$B$10))/1000</f>
        <v>25490.341686577118</v>
      </c>
      <c r="I52" s="16">
        <f>(((Ventes!I9*$B$6*$C$6)-(Ventes!I7*Hypothèses!I28*$B$6*$D$6))+(Ventes!I16*$B$6*Hypothèses!$B$11)+(Ventes!I17*$B$6*Hypothèses!$B$10))/1000</f>
        <v>37016.665107019769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 t="s">
        <v>197</v>
      </c>
      <c r="B53" s="5" t="s">
        <v>121</v>
      </c>
      <c r="C53" s="16">
        <f>'P&amp;L'!C18*$E$6</f>
        <v>1265</v>
      </c>
      <c r="D53" s="16">
        <f>'P&amp;L'!D18*$E$6</f>
        <v>2097.6</v>
      </c>
      <c r="E53" s="16">
        <f>'P&amp;L'!E18*$E$6</f>
        <v>3208.4999999999995</v>
      </c>
      <c r="F53" s="16">
        <f>'P&amp;L'!F18*$E$6</f>
        <v>4949.5999999999995</v>
      </c>
      <c r="G53" s="16">
        <f>'P&amp;L'!G18*$E$6</f>
        <v>7405.9999999999991</v>
      </c>
      <c r="H53" s="16">
        <f>'P&amp;L'!H18*$E$6</f>
        <v>10350</v>
      </c>
      <c r="I53" s="16">
        <f>'P&amp;L'!I18*$E$6</f>
        <v>13362.999999999998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 t="s">
        <v>131</v>
      </c>
      <c r="B54" s="5" t="s">
        <v>121</v>
      </c>
      <c r="C54" s="16">
        <f t="shared" ref="C54:I54" si="10">C52-C53</f>
        <v>-1263.3425</v>
      </c>
      <c r="D54" s="16">
        <f t="shared" si="10"/>
        <v>-1332.08087875</v>
      </c>
      <c r="E54" s="16">
        <f t="shared" si="10"/>
        <v>-231.53409587999931</v>
      </c>
      <c r="F54" s="16">
        <f t="shared" si="10"/>
        <v>2629.4032462524583</v>
      </c>
      <c r="G54" s="16">
        <f t="shared" si="10"/>
        <v>8125.7698880608796</v>
      </c>
      <c r="H54" s="16">
        <f t="shared" si="10"/>
        <v>15140.341686577118</v>
      </c>
      <c r="I54" s="16">
        <f t="shared" si="10"/>
        <v>23653.665107019769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 t="s">
        <v>132</v>
      </c>
      <c r="B55" s="5" t="s">
        <v>9</v>
      </c>
      <c r="C55" s="20">
        <f t="shared" ref="C55:I55" si="11">C54/C51</f>
        <v>-7.9395581950729008</v>
      </c>
      <c r="D55" s="20">
        <f t="shared" si="11"/>
        <v>-0.75600245393599041</v>
      </c>
      <c r="E55" s="20">
        <f t="shared" si="11"/>
        <v>-3.5758880087723925E-2</v>
      </c>
      <c r="F55" s="20">
        <f t="shared" si="11"/>
        <v>0.1689378527175521</v>
      </c>
      <c r="G55" s="20">
        <f t="shared" si="11"/>
        <v>0.26497216792786898</v>
      </c>
      <c r="H55" s="20">
        <f t="shared" si="11"/>
        <v>0.31346129702227971</v>
      </c>
      <c r="I55" s="20">
        <f t="shared" si="11"/>
        <v>0.34559141728764831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 t="s">
        <v>210</v>
      </c>
      <c r="B56" s="5" t="s">
        <v>121</v>
      </c>
      <c r="C56" s="16">
        <f>(C51*Hypothèses!$B$6/365)+((Ventes!C7*Hypothèses!C28*$B$6*$D$6/1000)*Hypothèses!$B$7/365)-(((C51-C52)*Hypothèses!$B$8/365))</f>
        <v>26.088595890410957</v>
      </c>
      <c r="D56" s="16">
        <f>(D51*Hypothèses!$B$6/365)+((Ventes!D7*Hypothèses!D28*$B$6*$D$6/1000)*Hypothèses!$B$7/365)-(((D51-D52)*Hypothèses!$B$8/365))</f>
        <v>252.7297546746575</v>
      </c>
      <c r="E56" s="16">
        <f>(E51*Hypothèses!$B$6/365)+((Ventes!E7*Hypothèses!E28*$B$6*$D$6/1000)*Hypothèses!$B$7/365)-(((E51-E52)*Hypothèses!$B$8/365))</f>
        <v>924.29579639835606</v>
      </c>
      <c r="F56" s="16">
        <f>(F51*Hypothèses!$B$6/365)+((Ventes!F7*Hypothèses!F28*$B$6*$D$6/1000)*Hypothèses!$B$7/365)-(((F51-F52)*Hypothèses!$B$8/365))</f>
        <v>2207.293550907837</v>
      </c>
      <c r="G56" s="16">
        <f>(G51*Hypothèses!$B$6/365)+((Ventes!G7*Hypothèses!G28*$B$6*$D$6/1000)*Hypothèses!$B$7/365)-(((G51-G52)*Hypothèses!$B$8/365))</f>
        <v>4326.678479349971</v>
      </c>
      <c r="H56" s="16">
        <f>(H51*Hypothèses!$B$6/365)+((Ventes!H7*Hypothèses!H28*$B$6*$D$6/1000)*Hypothèses!$B$7/365)-(((H51-H52)*Hypothèses!$B$8/365))</f>
        <v>6766.4393860163582</v>
      </c>
      <c r="I56" s="16">
        <f>(I51*Hypothèses!$B$6/365)+((Ventes!I7*Hypothèses!I28*$B$6*$D$6/1000)*Hypothèses!$B$7/365)-(((I51-I52)*Hypothèses!$B$8/365))</f>
        <v>9537.5340542901067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 t="s">
        <v>153</v>
      </c>
      <c r="B57" s="5" t="s">
        <v>121</v>
      </c>
      <c r="C57" s="16">
        <f>C56</f>
        <v>26.088595890410957</v>
      </c>
      <c r="D57" s="16">
        <f t="shared" ref="D57:I57" si="12">D56-C56</f>
        <v>226.64115878424656</v>
      </c>
      <c r="E57" s="16">
        <f t="shared" si="12"/>
        <v>671.56604172369862</v>
      </c>
      <c r="F57" s="16">
        <f t="shared" si="12"/>
        <v>1282.997754509481</v>
      </c>
      <c r="G57" s="16">
        <f t="shared" si="12"/>
        <v>2119.384928442134</v>
      </c>
      <c r="H57" s="16">
        <f t="shared" si="12"/>
        <v>2439.7609066663872</v>
      </c>
      <c r="I57" s="16">
        <f t="shared" si="12"/>
        <v>2771.0946682737485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 t="s">
        <v>71</v>
      </c>
      <c r="B58" s="5" t="s">
        <v>121</v>
      </c>
      <c r="C58" s="16">
        <f>Hypothèses!C37*$F$6/1000</f>
        <v>402.49999999999994</v>
      </c>
      <c r="D58" s="16">
        <f>Hypothèses!D37*$F$6/1000</f>
        <v>517.49999999999989</v>
      </c>
      <c r="E58" s="16">
        <f>Hypothèses!E37*$F$6/1000</f>
        <v>690</v>
      </c>
      <c r="F58" s="16">
        <f>Hypothèses!F37*$F$6/1000</f>
        <v>919.99999999999989</v>
      </c>
      <c r="G58" s="16">
        <f>Hypothèses!G37*$F$6/1000</f>
        <v>1150</v>
      </c>
      <c r="H58" s="16">
        <f>Hypothèses!H37*$F$6/1000</f>
        <v>1380</v>
      </c>
      <c r="I58" s="16">
        <f>Hypothèses!I37*$F$6/1000</f>
        <v>1609.9999999999998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 t="s">
        <v>211</v>
      </c>
      <c r="B59" s="5" t="s">
        <v>121</v>
      </c>
      <c r="C59" s="16">
        <f t="shared" ref="C59:I59" si="13">C54-C57-C58</f>
        <v>-1691.9310958904109</v>
      </c>
      <c r="D59" s="16">
        <f t="shared" si="13"/>
        <v>-2076.2220375342463</v>
      </c>
      <c r="E59" s="16">
        <f t="shared" si="13"/>
        <v>-1593.1001376036979</v>
      </c>
      <c r="F59" s="16">
        <f t="shared" si="13"/>
        <v>426.40549174297746</v>
      </c>
      <c r="G59" s="16">
        <f t="shared" si="13"/>
        <v>4856.3849596187456</v>
      </c>
      <c r="H59" s="16">
        <f t="shared" si="13"/>
        <v>11320.580779910732</v>
      </c>
      <c r="I59" s="16">
        <f t="shared" si="13"/>
        <v>19272.570438746021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 t="s">
        <v>212</v>
      </c>
      <c r="B60" s="5" t="s">
        <v>121</v>
      </c>
      <c r="C60" s="16">
        <f>Hypothèses!$B$12/1000+C59</f>
        <v>-1441.9310958904109</v>
      </c>
      <c r="D60" s="16">
        <f t="shared" ref="D60:I60" si="14">C60+D59</f>
        <v>-3518.1531334246574</v>
      </c>
      <c r="E60" s="16">
        <f t="shared" si="14"/>
        <v>-5111.2532710283558</v>
      </c>
      <c r="F60" s="16">
        <f t="shared" si="14"/>
        <v>-4684.8477792853782</v>
      </c>
      <c r="G60" s="16">
        <f t="shared" si="14"/>
        <v>171.53718033336736</v>
      </c>
      <c r="H60" s="16">
        <f t="shared" si="14"/>
        <v>11492.117960244099</v>
      </c>
      <c r="I60" s="16">
        <f t="shared" si="14"/>
        <v>30764.688398990118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6">
    <mergeCell ref="A48:I48"/>
    <mergeCell ref="A1:K1"/>
    <mergeCell ref="A2:I2"/>
    <mergeCell ref="A8:I8"/>
    <mergeCell ref="A12:I12"/>
    <mergeCell ref="A30:I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baseColWidth="10" defaultColWidth="8.83203125" defaultRowHeight="15"/>
  <cols>
    <col min="1" max="1" width="18" customWidth="1"/>
    <col min="2" max="7" width="16" customWidth="1"/>
  </cols>
  <sheetData>
    <row r="1" spans="1:26" ht="40" customHeight="1">
      <c r="A1" s="48" t="s">
        <v>215</v>
      </c>
      <c r="B1" s="49"/>
      <c r="C1" s="49"/>
      <c r="D1" s="49"/>
      <c r="E1" s="49"/>
      <c r="F1" s="49"/>
      <c r="G1" s="49"/>
      <c r="H1" s="49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6.75" customHeight="1">
      <c r="A2" s="50" t="s">
        <v>216</v>
      </c>
      <c r="B2" s="50" t="s">
        <v>216</v>
      </c>
      <c r="C2" s="50" t="s">
        <v>216</v>
      </c>
      <c r="D2" s="50" t="s">
        <v>216</v>
      </c>
      <c r="E2" s="50" t="s">
        <v>216</v>
      </c>
      <c r="F2" s="50" t="s">
        <v>216</v>
      </c>
      <c r="G2" s="50" t="s">
        <v>216</v>
      </c>
      <c r="H2" s="50" t="s">
        <v>216</v>
      </c>
      <c r="I2" s="50" t="s">
        <v>216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6.75" customHeight="1">
      <c r="A3" s="51" t="s">
        <v>217</v>
      </c>
      <c r="B3" s="51" t="s">
        <v>217</v>
      </c>
      <c r="C3" s="51" t="s">
        <v>217</v>
      </c>
      <c r="D3" s="51" t="s">
        <v>217</v>
      </c>
      <c r="E3" s="51" t="s">
        <v>217</v>
      </c>
      <c r="F3" s="51" t="s">
        <v>217</v>
      </c>
      <c r="G3" s="51" t="s">
        <v>217</v>
      </c>
      <c r="H3" s="51" t="s">
        <v>217</v>
      </c>
      <c r="I3" s="51" t="s">
        <v>217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1" t="s">
        <v>218</v>
      </c>
      <c r="B4" s="1" t="s">
        <v>219</v>
      </c>
      <c r="C4" s="3">
        <v>0.35</v>
      </c>
      <c r="D4" s="3">
        <v>0.4</v>
      </c>
      <c r="E4" s="3">
        <v>0.45</v>
      </c>
      <c r="F4" s="3">
        <v>0.5</v>
      </c>
      <c r="G4" s="3">
        <v>0.55000000000000004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31">
        <v>0.8</v>
      </c>
      <c r="B5" s="16">
        <f>Ventes!F7*A5</f>
        <v>880</v>
      </c>
      <c r="C5" s="23">
        <f>((B5*Hypothèses!F27*C$4)+('P&amp;L'!F5*1000*Hypothèses!$B$11*A5)+('P&amp;L'!F6*1000*Hypothèses!$B$10*A5)-('P&amp;L'!F18*1000))/1000000</f>
        <v>-0.82975800230618002</v>
      </c>
      <c r="D5" s="23">
        <f>((B5*Hypothèses!F27*D$4)+('P&amp;L'!F5*1000*Hypothèses!$B$11*A5)+('P&amp;L'!F6*1000*Hypothèses!$B$10*A5)-('P&amp;L'!F18*1000))/1000000</f>
        <v>-0.38535800230618006</v>
      </c>
      <c r="E5" s="23">
        <f>((B5*Hypothèses!F27*E$4)+('P&amp;L'!F5*1000*Hypothèses!$B$11*A5)+('P&amp;L'!F6*1000*Hypothèses!$B$10*A5)-('P&amp;L'!F18*1000))/1000000</f>
        <v>5.9041997693819924E-2</v>
      </c>
      <c r="F5" s="23">
        <f>((B5*Hypothèses!F27*F$4)+('P&amp;L'!F5*1000*Hypothèses!$B$11*A5)+('P&amp;L'!F6*1000*Hypothèses!$B$10*A5)-('P&amp;L'!F18*1000))/1000000</f>
        <v>0.50344199769381992</v>
      </c>
      <c r="G5" s="23">
        <f>((B5*Hypothèses!F27*G$4)+('P&amp;L'!F5*1000*Hypothèses!$B$11*A5)+('P&amp;L'!F6*1000*Hypothèses!$B$10*A5)-('P&amp;L'!F18*1000))/1000000</f>
        <v>0.94784199769381994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31">
        <v>0.9</v>
      </c>
      <c r="B6" s="16">
        <f>Ventes!F7*A6</f>
        <v>990</v>
      </c>
      <c r="C6" s="23">
        <f>((B6*Hypothèses!F27*C$4)+('P&amp;L'!F5*1000*Hypothèses!$B$11*A6)+('P&amp;L'!F6*1000*Hypothèses!$B$10*A6)-('P&amp;L'!F18*1000))/1000000</f>
        <v>-0.39547775259445234</v>
      </c>
      <c r="D6" s="23">
        <f>((B6*Hypothèses!F27*D$4)+('P&amp;L'!F5*1000*Hypothèses!$B$11*A6)+('P&amp;L'!F6*1000*Hypothèses!$B$10*A6)-('P&amp;L'!F18*1000))/1000000</f>
        <v>0.10447224740554766</v>
      </c>
      <c r="E6" s="23">
        <f>((B6*Hypothèses!F27*E$4)+('P&amp;L'!F5*1000*Hypothèses!$B$11*A6)+('P&amp;L'!F6*1000*Hypothèses!$B$10*A6)-('P&amp;L'!F18*1000))/1000000</f>
        <v>0.60442224740554762</v>
      </c>
      <c r="F6" s="23">
        <f>((B6*Hypothèses!F27*F$4)+('P&amp;L'!F5*1000*Hypothèses!$B$11*A6)+('P&amp;L'!F6*1000*Hypothèses!$B$10*A6)-('P&amp;L'!F18*1000))/1000000</f>
        <v>1.1043722474055477</v>
      </c>
      <c r="G6" s="23">
        <f>((B6*Hypothèses!F27*G$4)+('P&amp;L'!F5*1000*Hypothèses!$B$11*A6)+('P&amp;L'!F6*1000*Hypothèses!$B$10*A6)-('P&amp;L'!F18*1000))/1000000</f>
        <v>1.6043222474055476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31">
        <v>1</v>
      </c>
      <c r="B7" s="16">
        <f>Ventes!F7*A7</f>
        <v>1100</v>
      </c>
      <c r="C7" s="23">
        <f>((B7*Hypothèses!F27*C$4)+('P&amp;L'!F5*1000*Hypothèses!$B$11*A7)+('P&amp;L'!F6*1000*Hypothèses!$B$10*A7)-('P&amp;L'!F18*1000))/1000000</f>
        <v>3.8802497117274438E-2</v>
      </c>
      <c r="D7" s="23">
        <f>((B7*Hypothèses!F27*D$4)+('P&amp;L'!F5*1000*Hypothèses!$B$11*A7)+('P&amp;L'!F6*1000*Hypothèses!$B$10*A7)-('P&amp;L'!F18*1000))/1000000</f>
        <v>0.59430249711727534</v>
      </c>
      <c r="E7" s="23">
        <f>((B7*Hypothèses!F27*E$4)+('P&amp;L'!F5*1000*Hypothèses!$B$11*A7)+('P&amp;L'!F6*1000*Hypothèses!$B$10*A7)-('P&amp;L'!F18*1000))/1000000</f>
        <v>1.1498024971172753</v>
      </c>
      <c r="F7" s="23">
        <f>((B7*Hypothèses!F27*F$4)+('P&amp;L'!F5*1000*Hypothèses!$B$11*A7)+('P&amp;L'!F6*1000*Hypothèses!$B$10*A7)-('P&amp;L'!F18*1000))/1000000</f>
        <v>1.7053024971172754</v>
      </c>
      <c r="G7" s="23">
        <f>((B7*Hypothèses!F27*G$4)+('P&amp;L'!F5*1000*Hypothèses!$B$11*A7)+('P&amp;L'!F6*1000*Hypothèses!$B$10*A7)-('P&amp;L'!F18*1000))/1000000</f>
        <v>2.2608024971172762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31">
        <v>1.1000000000000001</v>
      </c>
      <c r="B8" s="16">
        <f>Ventes!F7*A8</f>
        <v>1210</v>
      </c>
      <c r="C8" s="23">
        <f>((B8*Hypothèses!F27*C$4)+('P&amp;L'!F5*1000*Hypothèses!$B$11*A8)+('P&amp;L'!F6*1000*Hypothèses!$B$10*A8)-('P&amp;L'!F18*1000))/1000000</f>
        <v>0.47308274682900214</v>
      </c>
      <c r="D8" s="23">
        <f>((B8*Hypothèses!F27*D$4)+('P&amp;L'!F5*1000*Hypothèses!$B$11*A8)+('P&amp;L'!F6*1000*Hypothèses!$B$10*A8)-('P&amp;L'!F18*1000))/1000000</f>
        <v>1.0841327468290021</v>
      </c>
      <c r="E8" s="23">
        <f>((B8*Hypothèses!F27*E$4)+('P&amp;L'!F5*1000*Hypothèses!$B$11*A8)+('P&amp;L'!F6*1000*Hypothèses!$B$10*A8)-('P&amp;L'!F18*1000))/1000000</f>
        <v>1.6951827468290022</v>
      </c>
      <c r="F8" s="23">
        <f>((B8*Hypothèses!F27*F$4)+('P&amp;L'!F5*1000*Hypothèses!$B$11*A8)+('P&amp;L'!F6*1000*Hypothèses!$B$10*A8)-('P&amp;L'!F18*1000))/1000000</f>
        <v>2.3062327468290023</v>
      </c>
      <c r="G8" s="23">
        <f>((B8*Hypothèses!F27*G$4)+('P&amp;L'!F5*1000*Hypothèses!$B$11*A8)+('P&amp;L'!F6*1000*Hypothèses!$B$10*A8)-('P&amp;L'!F18*1000))/1000000</f>
        <v>2.9172827468290032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31">
        <v>1.2</v>
      </c>
      <c r="B9" s="16">
        <f>Ventes!F7*A9</f>
        <v>1320</v>
      </c>
      <c r="C9" s="23">
        <f>((B9*Hypothèses!F27*C$4)+('P&amp;L'!F5*1000*Hypothèses!$B$11*A9)+('P&amp;L'!F6*1000*Hypothèses!$B$10*A9)-('P&amp;L'!F18*1000))/1000000</f>
        <v>0.90736299654072994</v>
      </c>
      <c r="D9" s="23">
        <f>((B9*Hypothèses!F27*D$4)+('P&amp;L'!F5*1000*Hypothèses!$B$11*A9)+('P&amp;L'!F6*1000*Hypothèses!$B$10*A9)-('P&amp;L'!F18*1000))/1000000</f>
        <v>1.5739629965407298</v>
      </c>
      <c r="E9" s="23">
        <f>((B9*Hypothèses!F27*E$4)+('P&amp;L'!F5*1000*Hypothèses!$B$11*A9)+('P&amp;L'!F6*1000*Hypothèses!$B$10*A9)-('P&amp;L'!F18*1000))/1000000</f>
        <v>2.2405629965407301</v>
      </c>
      <c r="F9" s="23">
        <f>((B9*Hypothèses!F27*F$4)+('P&amp;L'!F5*1000*Hypothèses!$B$11*A9)+('P&amp;L'!F6*1000*Hypothèses!$B$10*A9)-('P&amp;L'!F18*1000))/1000000</f>
        <v>2.90716299654073</v>
      </c>
      <c r="G9" s="23">
        <f>((B9*Hypothèses!F27*G$4)+('P&amp;L'!F5*1000*Hypothèses!$B$11*A9)+('P&amp;L'!F6*1000*Hypothèses!$B$10*A9)-('P&amp;L'!F18*1000))/1000000</f>
        <v>3.5737629965407307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3">
    <mergeCell ref="A1:H1"/>
    <mergeCell ref="A2:I2"/>
    <mergeCell ref="A3:I3"/>
  </mergeCells>
  <conditionalFormatting sqref="C5:G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baseColWidth="10" defaultColWidth="8.83203125" defaultRowHeight="15"/>
  <cols>
    <col min="1" max="1" width="28" customWidth="1"/>
    <col min="2" max="2" width="45" customWidth="1"/>
    <col min="3" max="3" width="30" customWidth="1"/>
    <col min="4" max="4" width="70" customWidth="1"/>
    <col min="5" max="5" width="45" customWidth="1"/>
  </cols>
  <sheetData>
    <row r="1" spans="1:26" ht="40" customHeight="1">
      <c r="A1" s="44" t="s">
        <v>220</v>
      </c>
      <c r="B1" s="45"/>
      <c r="C1" s="45"/>
      <c r="D1" s="45"/>
      <c r="E1" s="4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6.75" customHeight="1">
      <c r="A2" s="46" t="s">
        <v>221</v>
      </c>
      <c r="B2" s="46" t="s">
        <v>221</v>
      </c>
      <c r="C2" s="46" t="s">
        <v>221</v>
      </c>
      <c r="D2" s="46" t="s">
        <v>221</v>
      </c>
      <c r="E2" s="46" t="s">
        <v>221</v>
      </c>
      <c r="F2" s="50" t="s">
        <v>221</v>
      </c>
      <c r="G2" s="50" t="s">
        <v>221</v>
      </c>
      <c r="H2" s="50" t="s">
        <v>221</v>
      </c>
      <c r="I2" s="50" t="s">
        <v>221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">
      <c r="A3" s="2" t="s">
        <v>222</v>
      </c>
      <c r="B3" s="2" t="s">
        <v>223</v>
      </c>
      <c r="C3" s="2" t="s">
        <v>224</v>
      </c>
      <c r="D3" s="2" t="s">
        <v>225</v>
      </c>
      <c r="E3" s="2" t="s">
        <v>226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8">
      <c r="A4" s="4" t="s">
        <v>227</v>
      </c>
      <c r="B4" s="4" t="s">
        <v>228</v>
      </c>
      <c r="C4" s="4" t="s">
        <v>229</v>
      </c>
      <c r="D4" s="4" t="s">
        <v>230</v>
      </c>
      <c r="E4" s="4" t="s">
        <v>231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48">
      <c r="A5" s="4" t="s">
        <v>232</v>
      </c>
      <c r="B5" s="4" t="s">
        <v>233</v>
      </c>
      <c r="C5" s="4" t="s">
        <v>234</v>
      </c>
      <c r="D5" s="4" t="s">
        <v>235</v>
      </c>
      <c r="E5" s="4" t="s">
        <v>236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2">
      <c r="A6" s="4" t="s">
        <v>237</v>
      </c>
      <c r="B6" s="4" t="s">
        <v>238</v>
      </c>
      <c r="C6" s="4" t="s">
        <v>239</v>
      </c>
      <c r="D6" s="4" t="s">
        <v>240</v>
      </c>
      <c r="E6" s="4" t="s">
        <v>241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2">
      <c r="A7" s="4" t="s">
        <v>242</v>
      </c>
      <c r="B7" s="4" t="s">
        <v>243</v>
      </c>
      <c r="C7" s="4" t="s">
        <v>239</v>
      </c>
      <c r="D7" s="4" t="s">
        <v>244</v>
      </c>
      <c r="E7" s="4" t="s">
        <v>245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2">
      <c r="A8" s="4" t="s">
        <v>246</v>
      </c>
      <c r="B8" s="4" t="s">
        <v>247</v>
      </c>
      <c r="C8" s="4" t="s">
        <v>248</v>
      </c>
      <c r="D8" s="4" t="s">
        <v>249</v>
      </c>
      <c r="E8" s="4" t="s">
        <v>250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2">
      <c r="A9" s="4" t="s">
        <v>251</v>
      </c>
      <c r="B9" s="4" t="s">
        <v>252</v>
      </c>
      <c r="C9" s="4" t="s">
        <v>253</v>
      </c>
      <c r="D9" s="4" t="s">
        <v>254</v>
      </c>
      <c r="E9" s="4" t="s">
        <v>255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2">
      <c r="A10" s="4" t="s">
        <v>256</v>
      </c>
      <c r="B10" s="4" t="s">
        <v>257</v>
      </c>
      <c r="C10" s="4" t="s">
        <v>258</v>
      </c>
      <c r="D10" s="4" t="s">
        <v>259</v>
      </c>
      <c r="E10" s="4" t="s">
        <v>260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">
      <c r="A11" s="4" t="s">
        <v>261</v>
      </c>
      <c r="B11" s="4" t="s">
        <v>262</v>
      </c>
      <c r="C11" s="4" t="s">
        <v>263</v>
      </c>
      <c r="D11" s="4" t="s">
        <v>11</v>
      </c>
      <c r="E11" s="4" t="s">
        <v>264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2">
      <c r="A12" s="4" t="s">
        <v>265</v>
      </c>
      <c r="B12" s="4" t="s">
        <v>266</v>
      </c>
      <c r="C12" s="4" t="s">
        <v>267</v>
      </c>
      <c r="D12" s="4" t="s">
        <v>268</v>
      </c>
      <c r="E12" s="4" t="s">
        <v>269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 t="s">
        <v>270</v>
      </c>
      <c r="B13" s="5" t="s">
        <v>271</v>
      </c>
      <c r="C13" s="5" t="s">
        <v>267</v>
      </c>
      <c r="D13" s="5" t="s">
        <v>268</v>
      </c>
      <c r="E13" s="5" t="s">
        <v>269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 t="s">
        <v>272</v>
      </c>
      <c r="B14" s="5" t="s">
        <v>273</v>
      </c>
      <c r="C14" s="5" t="s">
        <v>267</v>
      </c>
      <c r="D14" s="5" t="s">
        <v>268</v>
      </c>
      <c r="E14" s="5" t="s">
        <v>269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 t="s">
        <v>274</v>
      </c>
      <c r="B15" s="5" t="s">
        <v>275</v>
      </c>
      <c r="C15" s="5" t="s">
        <v>267</v>
      </c>
      <c r="D15" s="5" t="s">
        <v>276</v>
      </c>
      <c r="E15" s="5" t="s">
        <v>277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 t="s">
        <v>278</v>
      </c>
      <c r="B16" s="5" t="s">
        <v>279</v>
      </c>
      <c r="C16" s="5" t="s">
        <v>280</v>
      </c>
      <c r="D16" s="5" t="s">
        <v>281</v>
      </c>
      <c r="E16" s="5" t="s">
        <v>282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 t="s">
        <v>283</v>
      </c>
      <c r="B17" s="5" t="s">
        <v>284</v>
      </c>
      <c r="C17" s="5" t="s">
        <v>285</v>
      </c>
      <c r="D17" s="5" t="s">
        <v>286</v>
      </c>
      <c r="E17" s="5" t="s">
        <v>287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 t="s">
        <v>288</v>
      </c>
      <c r="B18" s="5" t="s">
        <v>289</v>
      </c>
      <c r="C18" s="5" t="s">
        <v>290</v>
      </c>
      <c r="D18" s="5" t="s">
        <v>291</v>
      </c>
      <c r="E18" s="5" t="s">
        <v>292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 t="s">
        <v>293</v>
      </c>
      <c r="B19" s="5" t="s">
        <v>294</v>
      </c>
      <c r="C19" s="5" t="s">
        <v>295</v>
      </c>
      <c r="D19" s="5" t="s">
        <v>296</v>
      </c>
      <c r="E19" s="5" t="s">
        <v>292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2">
    <mergeCell ref="A1:E1"/>
    <mergeCell ref="A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/>
  <cols>
    <col min="1" max="1" width="14" customWidth="1"/>
    <col min="2" max="2" width="18" customWidth="1"/>
    <col min="3" max="9" width="14" customWidth="1"/>
  </cols>
  <sheetData>
    <row r="1" spans="1:26" ht="30" customHeight="1">
      <c r="A1" s="44" t="s">
        <v>297</v>
      </c>
      <c r="B1" s="45"/>
      <c r="C1" s="45"/>
      <c r="D1" s="45"/>
      <c r="E1" s="45"/>
      <c r="F1" s="45"/>
      <c r="G1" s="45"/>
      <c r="H1" s="45"/>
      <c r="I1" s="4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0" customHeight="1">
      <c r="A2" s="46" t="s">
        <v>298</v>
      </c>
      <c r="B2" s="46" t="s">
        <v>299</v>
      </c>
      <c r="C2" s="46" t="s">
        <v>299</v>
      </c>
      <c r="D2" s="46" t="s">
        <v>299</v>
      </c>
      <c r="E2" s="46" t="s">
        <v>299</v>
      </c>
      <c r="F2" s="46" t="s">
        <v>299</v>
      </c>
      <c r="G2" s="46" t="s">
        <v>299</v>
      </c>
      <c r="H2" s="46" t="s">
        <v>299</v>
      </c>
      <c r="I2" s="46" t="s">
        <v>299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55" t="s">
        <v>300</v>
      </c>
      <c r="B3" s="45"/>
      <c r="C3" s="4"/>
      <c r="D3" s="55" t="s">
        <v>301</v>
      </c>
      <c r="E3" s="45"/>
      <c r="F3" s="4"/>
      <c r="G3" s="55" t="s">
        <v>302</v>
      </c>
      <c r="H3" s="45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6">
        <f>'P&amp;L'!F7/1000</f>
        <v>11.7503558789615</v>
      </c>
      <c r="B4" s="45"/>
      <c r="C4" s="4"/>
      <c r="D4" s="56">
        <f>'P&amp;L'!I7/1000</f>
        <v>51.699244440741872</v>
      </c>
      <c r="E4" s="45"/>
      <c r="F4" s="4"/>
      <c r="G4" s="58">
        <f>Financement!C8</f>
        <v>2030</v>
      </c>
      <c r="H4" s="45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7" t="s">
        <v>303</v>
      </c>
      <c r="B5" s="45"/>
      <c r="C5" s="4"/>
      <c r="D5" s="57" t="s">
        <v>303</v>
      </c>
      <c r="E5" s="45"/>
      <c r="F5" s="4"/>
      <c r="G5" s="57" t="s">
        <v>166</v>
      </c>
      <c r="H5" s="45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5" t="s">
        <v>204</v>
      </c>
      <c r="B6" s="45"/>
      <c r="C6" s="4"/>
      <c r="D6" s="55" t="s">
        <v>304</v>
      </c>
      <c r="E6" s="45"/>
      <c r="F6" s="4"/>
      <c r="G6" s="55" t="s">
        <v>97</v>
      </c>
      <c r="H6" s="45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9">
        <f>'P&amp;L'!I20</f>
        <v>0.28393756878702942</v>
      </c>
      <c r="B7" s="45"/>
      <c r="C7" s="4"/>
      <c r="D7" s="56">
        <f>Financement!C5/1000</f>
        <v>5.7799200251615686</v>
      </c>
      <c r="E7" s="45"/>
      <c r="F7" s="4"/>
      <c r="G7" s="56">
        <f>'Unit Economics'!C11</f>
        <v>4.2</v>
      </c>
      <c r="H7" s="45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7" t="s">
        <v>9</v>
      </c>
      <c r="B8" s="45"/>
      <c r="C8" s="4"/>
      <c r="D8" s="57" t="s">
        <v>303</v>
      </c>
      <c r="E8" s="45"/>
      <c r="F8" s="4"/>
      <c r="G8" s="57" t="s">
        <v>305</v>
      </c>
      <c r="H8" s="45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5" t="s">
        <v>306</v>
      </c>
      <c r="B9" s="45"/>
      <c r="C9" s="4"/>
      <c r="D9" s="55" t="s">
        <v>307</v>
      </c>
      <c r="E9" s="45"/>
      <c r="F9" s="4"/>
      <c r="G9" s="62" t="s">
        <v>308</v>
      </c>
      <c r="H9" s="62"/>
      <c r="I9" s="6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">
      <c r="A10" s="60">
        <f>SUM(Ventes!C7:I7)</f>
        <v>12385</v>
      </c>
      <c r="B10" s="45"/>
      <c r="C10" s="4"/>
      <c r="D10" s="56">
        <f>'Unit Economics'!C12</f>
        <v>4.6500000000000004</v>
      </c>
      <c r="E10" s="45"/>
      <c r="F10" s="4"/>
      <c r="G10" s="63">
        <f>'Marché mondial'!B17</f>
        <v>0.55555555555555558</v>
      </c>
      <c r="H10" s="63"/>
      <c r="I10" s="6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7" t="s">
        <v>56</v>
      </c>
      <c r="B11" s="45"/>
      <c r="C11" s="4"/>
      <c r="D11" s="57" t="s">
        <v>309</v>
      </c>
      <c r="E11" s="45"/>
      <c r="F11" s="4"/>
      <c r="G11" s="64" t="s">
        <v>310</v>
      </c>
      <c r="H11" s="64"/>
      <c r="I11" s="6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0" customHeight="1">
      <c r="A12" s="47" t="s">
        <v>311</v>
      </c>
      <c r="B12" s="47" t="s">
        <v>311</v>
      </c>
      <c r="C12" s="47" t="s">
        <v>311</v>
      </c>
      <c r="D12" s="47" t="s">
        <v>311</v>
      </c>
      <c r="E12" s="47" t="s">
        <v>311</v>
      </c>
      <c r="F12" s="47" t="s">
        <v>311</v>
      </c>
      <c r="G12" s="47" t="s">
        <v>311</v>
      </c>
      <c r="H12" s="47" t="s">
        <v>311</v>
      </c>
      <c r="I12" s="47" t="s">
        <v>311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">
      <c r="A13" s="2" t="s">
        <v>76</v>
      </c>
      <c r="B13" s="2"/>
      <c r="C13" s="2">
        <v>2027</v>
      </c>
      <c r="D13" s="2">
        <v>2028</v>
      </c>
      <c r="E13" s="2">
        <v>2029</v>
      </c>
      <c r="F13" s="2">
        <v>2030</v>
      </c>
      <c r="G13" s="2">
        <v>2031</v>
      </c>
      <c r="H13" s="2">
        <v>2032</v>
      </c>
      <c r="I13" s="2">
        <v>2033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">
      <c r="A14" s="4" t="s">
        <v>312</v>
      </c>
      <c r="B14" s="4"/>
      <c r="C14" s="6">
        <f>'P&amp;L'!C7/1000</f>
        <v>0.12</v>
      </c>
      <c r="D14" s="6">
        <f>'P&amp;L'!D7/1000</f>
        <v>1.3301892499999999</v>
      </c>
      <c r="E14" s="6">
        <f>'P&amp;L'!E7/1000</f>
        <v>4.8879691439999995</v>
      </c>
      <c r="F14" s="6">
        <f>'P&amp;L'!F7/1000</f>
        <v>11.7503558789615</v>
      </c>
      <c r="G14" s="6">
        <f>'P&amp;L'!G7/1000</f>
        <v>23.154017998245141</v>
      </c>
      <c r="H14" s="6">
        <f>'P&amp;L'!H7/1000</f>
        <v>36.475241345318658</v>
      </c>
      <c r="I14" s="6">
        <f>'P&amp;L'!I7/1000</f>
        <v>51.699244440741872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6">
      <c r="A15" s="4" t="s">
        <v>313</v>
      </c>
      <c r="B15" s="4"/>
      <c r="C15" s="6">
        <f>'P&amp;L'!C19/1000</f>
        <v>-1.1074999999999999</v>
      </c>
      <c r="D15" s="6">
        <f>'P&amp;L'!D19/1000</f>
        <v>-1.2993391375000001</v>
      </c>
      <c r="E15" s="6">
        <f>'P&amp;L'!E19/1000</f>
        <v>-0.72997622760000014</v>
      </c>
      <c r="F15" s="6">
        <f>'P&amp;L'!F19/1000</f>
        <v>0.99030249711727447</v>
      </c>
      <c r="G15" s="6">
        <f>'P&amp;L'!G19/1000</f>
        <v>4.4779152985083694</v>
      </c>
      <c r="H15" s="6">
        <f>'P&amp;L'!H19/1000</f>
        <v>9.0364551435208593</v>
      </c>
      <c r="I15" s="6">
        <f>'P&amp;L'!I19/1000</f>
        <v>14.679357774630592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6">
      <c r="A16" s="4" t="s">
        <v>77</v>
      </c>
      <c r="B16" s="4"/>
      <c r="C16" s="7">
        <f>Ventes!C7</f>
        <v>15</v>
      </c>
      <c r="D16" s="7">
        <f>Ventes!D7</f>
        <v>120</v>
      </c>
      <c r="E16" s="7">
        <f>Ventes!E7</f>
        <v>450</v>
      </c>
      <c r="F16" s="7">
        <f>Ventes!F7</f>
        <v>1100</v>
      </c>
      <c r="G16" s="7">
        <f>Ventes!G7</f>
        <v>2200</v>
      </c>
      <c r="H16" s="7">
        <f>Ventes!H7</f>
        <v>3500</v>
      </c>
      <c r="I16" s="7">
        <f>Ventes!I7</f>
        <v>5000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0" customHeight="1">
      <c r="A34" s="47" t="s">
        <v>314</v>
      </c>
      <c r="B34" s="47" t="s">
        <v>314</v>
      </c>
      <c r="C34" s="47" t="s">
        <v>314</v>
      </c>
      <c r="D34" s="47" t="s">
        <v>314</v>
      </c>
      <c r="E34" s="47" t="s">
        <v>314</v>
      </c>
      <c r="F34" s="47" t="s">
        <v>314</v>
      </c>
      <c r="G34" s="47" t="s">
        <v>314</v>
      </c>
      <c r="H34" s="47" t="s">
        <v>314</v>
      </c>
      <c r="I34" s="47" t="s">
        <v>314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8" customHeight="1">
      <c r="A35" s="8" t="s">
        <v>315</v>
      </c>
      <c r="B35" s="61" t="s">
        <v>316</v>
      </c>
      <c r="C35" s="45"/>
      <c r="D35" s="45"/>
      <c r="E35" s="45"/>
      <c r="F35" s="45"/>
      <c r="G35" s="45"/>
      <c r="H35" s="45"/>
      <c r="I35" s="4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8" customHeight="1">
      <c r="A36" s="8" t="s">
        <v>317</v>
      </c>
      <c r="B36" s="61" t="s">
        <v>318</v>
      </c>
      <c r="C36" s="45"/>
      <c r="D36" s="45"/>
      <c r="E36" s="45"/>
      <c r="F36" s="45"/>
      <c r="G36" s="45"/>
      <c r="H36" s="45"/>
      <c r="I36" s="4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8" customHeight="1">
      <c r="A37" s="8" t="s">
        <v>319</v>
      </c>
      <c r="B37" s="61" t="s">
        <v>320</v>
      </c>
      <c r="C37" s="45"/>
      <c r="D37" s="45"/>
      <c r="E37" s="45"/>
      <c r="F37" s="45"/>
      <c r="G37" s="45"/>
      <c r="H37" s="45"/>
      <c r="I37" s="4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8" customHeight="1">
      <c r="A38" s="8" t="s">
        <v>321</v>
      </c>
      <c r="B38" s="61" t="s">
        <v>322</v>
      </c>
      <c r="C38" s="45"/>
      <c r="D38" s="45"/>
      <c r="E38" s="45"/>
      <c r="F38" s="45"/>
      <c r="G38" s="45"/>
      <c r="H38" s="45"/>
      <c r="I38" s="4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8" customHeight="1">
      <c r="A39" s="8" t="s">
        <v>323</v>
      </c>
      <c r="B39" s="61" t="s">
        <v>324</v>
      </c>
      <c r="C39" s="45"/>
      <c r="D39" s="45"/>
      <c r="E39" s="45"/>
      <c r="F39" s="45"/>
      <c r="G39" s="45"/>
      <c r="H39" s="45"/>
      <c r="I39" s="4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8" customHeight="1">
      <c r="A40" s="42">
        <v>6</v>
      </c>
      <c r="B40" s="65" t="s">
        <v>325</v>
      </c>
      <c r="C40" s="65"/>
      <c r="D40" s="65"/>
      <c r="E40" s="65"/>
      <c r="F40" s="65"/>
      <c r="G40" s="65"/>
      <c r="H40" s="65"/>
      <c r="I40" s="6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37">
    <mergeCell ref="B39:I39"/>
    <mergeCell ref="G9:I9"/>
    <mergeCell ref="G10:I10"/>
    <mergeCell ref="G11:I11"/>
    <mergeCell ref="B40:I40"/>
    <mergeCell ref="A34:I34"/>
    <mergeCell ref="B35:I35"/>
    <mergeCell ref="B36:I36"/>
    <mergeCell ref="B37:I37"/>
    <mergeCell ref="B38:I38"/>
    <mergeCell ref="A11:B11"/>
    <mergeCell ref="D9:E9"/>
    <mergeCell ref="D10:E10"/>
    <mergeCell ref="D11:E11"/>
    <mergeCell ref="A12:I12"/>
    <mergeCell ref="G6:H6"/>
    <mergeCell ref="G7:H7"/>
    <mergeCell ref="G8:H8"/>
    <mergeCell ref="A9:B9"/>
    <mergeCell ref="A10:B10"/>
    <mergeCell ref="A6:B6"/>
    <mergeCell ref="A7:B7"/>
    <mergeCell ref="A8:B8"/>
    <mergeCell ref="D6:E6"/>
    <mergeCell ref="D7:E7"/>
    <mergeCell ref="D8:E8"/>
    <mergeCell ref="A1:I1"/>
    <mergeCell ref="A2:I2"/>
    <mergeCell ref="A3:B3"/>
    <mergeCell ref="A4:B4"/>
    <mergeCell ref="A5:B5"/>
    <mergeCell ref="D3:E3"/>
    <mergeCell ref="D4:E4"/>
    <mergeCell ref="D5:E5"/>
    <mergeCell ref="G3:H3"/>
    <mergeCell ref="G4:H4"/>
    <mergeCell ref="G5:H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/>
  <cols>
    <col min="1" max="1" width="34" customWidth="1"/>
    <col min="2" max="4" width="16" customWidth="1"/>
    <col min="5" max="6" width="34" customWidth="1"/>
    <col min="7" max="9" width="16" customWidth="1"/>
  </cols>
  <sheetData>
    <row r="1" spans="1:9" ht="23">
      <c r="A1" s="66" t="s">
        <v>326</v>
      </c>
      <c r="B1" s="66"/>
      <c r="C1" s="66"/>
      <c r="D1" s="66"/>
      <c r="E1" s="66"/>
      <c r="F1" s="66"/>
      <c r="G1" s="66"/>
      <c r="H1" s="66"/>
      <c r="I1" s="66"/>
    </row>
    <row r="2" spans="1:9">
      <c r="A2" s="67" t="s">
        <v>327</v>
      </c>
      <c r="B2" s="67"/>
      <c r="C2" s="67"/>
      <c r="D2" s="67"/>
      <c r="E2" s="67"/>
      <c r="F2" s="67"/>
      <c r="G2" s="67"/>
      <c r="H2" s="67"/>
      <c r="I2" s="67"/>
    </row>
    <row r="3" spans="1:9">
      <c r="A3" s="33"/>
      <c r="B3" s="33"/>
      <c r="C3" s="33"/>
      <c r="D3" s="33"/>
      <c r="E3" s="33"/>
      <c r="F3" s="33"/>
      <c r="G3" s="33"/>
      <c r="H3" s="33"/>
      <c r="I3" s="33"/>
    </row>
    <row r="4" spans="1:9">
      <c r="A4" s="68" t="s">
        <v>328</v>
      </c>
      <c r="B4" s="68"/>
      <c r="C4" s="68"/>
      <c r="D4" s="68"/>
      <c r="E4" s="68"/>
      <c r="F4" s="68"/>
      <c r="G4" s="68"/>
      <c r="H4" s="68"/>
      <c r="I4" s="68"/>
    </row>
    <row r="5" spans="1:9" ht="28">
      <c r="A5" s="37" t="s">
        <v>329</v>
      </c>
      <c r="B5" s="37" t="s">
        <v>330</v>
      </c>
      <c r="C5" s="37" t="s">
        <v>5</v>
      </c>
      <c r="D5" s="37" t="s">
        <v>331</v>
      </c>
      <c r="E5" s="37" t="s">
        <v>224</v>
      </c>
      <c r="F5" s="37" t="s">
        <v>225</v>
      </c>
      <c r="G5" s="33"/>
      <c r="H5" s="33" t="s">
        <v>332</v>
      </c>
      <c r="I5" s="33" t="s">
        <v>333</v>
      </c>
    </row>
    <row r="6" spans="1:9" ht="28">
      <c r="A6" s="33" t="s">
        <v>334</v>
      </c>
      <c r="B6" s="38">
        <v>400000</v>
      </c>
      <c r="C6" s="33" t="s">
        <v>335</v>
      </c>
      <c r="D6" s="33" t="s">
        <v>10</v>
      </c>
      <c r="E6" s="33" t="s">
        <v>267</v>
      </c>
      <c r="F6" s="33" t="s">
        <v>268</v>
      </c>
      <c r="G6" s="33"/>
      <c r="H6" s="33" t="s">
        <v>336</v>
      </c>
      <c r="I6" s="33">
        <f>B13</f>
        <v>900000</v>
      </c>
    </row>
    <row r="7" spans="1:9" ht="28">
      <c r="A7" s="33" t="s">
        <v>337</v>
      </c>
      <c r="B7" s="38">
        <v>430000</v>
      </c>
      <c r="C7" s="33" t="s">
        <v>335</v>
      </c>
      <c r="D7" s="33" t="s">
        <v>10</v>
      </c>
      <c r="E7" s="33" t="s">
        <v>267</v>
      </c>
      <c r="F7" s="33" t="s">
        <v>268</v>
      </c>
      <c r="G7" s="33"/>
      <c r="H7" s="33" t="s">
        <v>338</v>
      </c>
      <c r="I7" s="33">
        <f>B15</f>
        <v>225000</v>
      </c>
    </row>
    <row r="8" spans="1:9" ht="28">
      <c r="A8" s="33" t="s">
        <v>339</v>
      </c>
      <c r="B8" s="38">
        <v>70000</v>
      </c>
      <c r="C8" s="33" t="s">
        <v>335</v>
      </c>
      <c r="D8" s="33" t="s">
        <v>10</v>
      </c>
      <c r="E8" s="33" t="s">
        <v>267</v>
      </c>
      <c r="F8" s="33" t="s">
        <v>268</v>
      </c>
      <c r="G8" s="33"/>
      <c r="H8" s="33" t="s">
        <v>340</v>
      </c>
      <c r="I8" s="33">
        <f>B16</f>
        <v>5000</v>
      </c>
    </row>
    <row r="9" spans="1:9" ht="28">
      <c r="A9" s="33" t="s">
        <v>341</v>
      </c>
      <c r="B9" s="38">
        <f>SUM(B6:B8)</f>
        <v>900000</v>
      </c>
      <c r="C9" s="33" t="s">
        <v>335</v>
      </c>
      <c r="D9" s="33" t="s">
        <v>342</v>
      </c>
      <c r="E9" s="33" t="s">
        <v>343</v>
      </c>
      <c r="F9" s="33"/>
      <c r="G9" s="33"/>
      <c r="H9" s="33"/>
      <c r="I9" s="33"/>
    </row>
    <row r="10" spans="1:9">
      <c r="A10" s="33"/>
      <c r="B10" s="33"/>
      <c r="C10" s="33"/>
      <c r="D10" s="33"/>
      <c r="E10" s="33"/>
      <c r="F10" s="33"/>
      <c r="G10" s="33"/>
      <c r="H10" s="33"/>
      <c r="I10" s="33"/>
    </row>
    <row r="11" spans="1:9">
      <c r="A11" s="68" t="s">
        <v>344</v>
      </c>
      <c r="B11" s="68"/>
      <c r="C11" s="68"/>
      <c r="D11" s="68"/>
      <c r="E11" s="68"/>
      <c r="F11" s="68"/>
      <c r="G11" s="68"/>
      <c r="H11" s="68"/>
      <c r="I11" s="68"/>
    </row>
    <row r="12" spans="1:9">
      <c r="A12" s="37" t="s">
        <v>76</v>
      </c>
      <c r="B12" s="37" t="s">
        <v>4</v>
      </c>
      <c r="C12" s="37" t="s">
        <v>5</v>
      </c>
      <c r="D12" s="37" t="s">
        <v>6</v>
      </c>
      <c r="E12" s="37" t="s">
        <v>314</v>
      </c>
      <c r="F12" s="33"/>
      <c r="G12" s="33"/>
      <c r="H12" s="33"/>
      <c r="I12" s="33"/>
    </row>
    <row r="13" spans="1:9">
      <c r="A13" s="33" t="s">
        <v>345</v>
      </c>
      <c r="B13" s="38">
        <f>B9</f>
        <v>900000</v>
      </c>
      <c r="C13" s="33" t="s">
        <v>335</v>
      </c>
      <c r="D13" s="33" t="s">
        <v>346</v>
      </c>
      <c r="E13" s="33" t="s">
        <v>347</v>
      </c>
      <c r="F13" s="33"/>
      <c r="G13" s="33"/>
      <c r="H13" s="33"/>
      <c r="I13" s="33"/>
    </row>
    <row r="14" spans="1:9" ht="42">
      <c r="A14" s="33" t="s">
        <v>348</v>
      </c>
      <c r="B14" s="40">
        <v>25</v>
      </c>
      <c r="C14" s="33" t="s">
        <v>9</v>
      </c>
      <c r="D14" s="33" t="s">
        <v>14</v>
      </c>
      <c r="E14" s="33" t="s">
        <v>349</v>
      </c>
      <c r="F14" s="33"/>
      <c r="G14" s="33"/>
      <c r="H14" s="33"/>
      <c r="I14" s="33"/>
    </row>
    <row r="15" spans="1:9">
      <c r="A15" s="33" t="s">
        <v>350</v>
      </c>
      <c r="B15" s="38">
        <f>B13*B14/100</f>
        <v>225000</v>
      </c>
      <c r="C15" s="33" t="s">
        <v>335</v>
      </c>
      <c r="D15" s="33" t="s">
        <v>342</v>
      </c>
      <c r="E15" s="33" t="s">
        <v>351</v>
      </c>
      <c r="F15" s="33"/>
      <c r="G15" s="33"/>
      <c r="H15" s="33"/>
      <c r="I15" s="33"/>
    </row>
    <row r="16" spans="1:9">
      <c r="A16" s="33" t="s">
        <v>352</v>
      </c>
      <c r="B16" s="38">
        <f>Ventes!I7</f>
        <v>5000</v>
      </c>
      <c r="C16" s="33" t="s">
        <v>335</v>
      </c>
      <c r="D16" s="33" t="s">
        <v>353</v>
      </c>
      <c r="E16" s="33" t="s">
        <v>354</v>
      </c>
      <c r="F16" s="33"/>
      <c r="G16" s="33"/>
      <c r="H16" s="33"/>
      <c r="I16" s="33"/>
    </row>
    <row r="17" spans="1:9" ht="28">
      <c r="A17" s="33" t="s">
        <v>355</v>
      </c>
      <c r="B17" s="41">
        <f>B16/B13*100</f>
        <v>0.55555555555555558</v>
      </c>
      <c r="C17" s="33" t="s">
        <v>9</v>
      </c>
      <c r="D17" s="33" t="s">
        <v>342</v>
      </c>
      <c r="E17" s="33" t="s">
        <v>356</v>
      </c>
      <c r="F17" s="33"/>
      <c r="G17" s="33"/>
      <c r="H17" s="33"/>
      <c r="I17" s="33"/>
    </row>
    <row r="18" spans="1:9" ht="28">
      <c r="A18" s="33" t="s">
        <v>357</v>
      </c>
      <c r="B18" s="41">
        <f>B16/B15*100</f>
        <v>2.2222222222222223</v>
      </c>
      <c r="C18" s="33" t="s">
        <v>9</v>
      </c>
      <c r="D18" s="33" t="s">
        <v>342</v>
      </c>
      <c r="E18" s="33" t="s">
        <v>358</v>
      </c>
      <c r="F18" s="33"/>
      <c r="G18" s="33"/>
      <c r="H18" s="33"/>
      <c r="I18" s="33"/>
    </row>
    <row r="19" spans="1:9" ht="28">
      <c r="A19" s="33" t="s">
        <v>359</v>
      </c>
      <c r="B19" s="41">
        <f>SUM(Ventes!C7:I7)/(B13*7)*100</f>
        <v>0.19658730158730159</v>
      </c>
      <c r="C19" s="33" t="s">
        <v>9</v>
      </c>
      <c r="D19" s="33" t="s">
        <v>342</v>
      </c>
      <c r="E19" s="33" t="s">
        <v>360</v>
      </c>
      <c r="F19" s="33"/>
      <c r="G19" s="33"/>
      <c r="H19" s="33"/>
      <c r="I19" s="33"/>
    </row>
    <row r="20" spans="1:9">
      <c r="A20" s="33"/>
      <c r="B20" s="33"/>
      <c r="C20" s="33"/>
      <c r="D20" s="33"/>
      <c r="E20" s="33"/>
      <c r="F20" s="33"/>
      <c r="G20" s="33"/>
      <c r="H20" s="33"/>
      <c r="I20" s="33"/>
    </row>
    <row r="21" spans="1:9">
      <c r="A21" s="68" t="s">
        <v>361</v>
      </c>
      <c r="B21" s="68"/>
      <c r="C21" s="68"/>
      <c r="D21" s="68"/>
      <c r="E21" s="68"/>
      <c r="F21" s="68"/>
      <c r="G21" s="68"/>
      <c r="H21" s="68"/>
      <c r="I21" s="68"/>
    </row>
    <row r="22" spans="1:9" ht="28">
      <c r="A22" s="37" t="s">
        <v>329</v>
      </c>
      <c r="B22" s="37" t="s">
        <v>330</v>
      </c>
      <c r="C22" s="37" t="s">
        <v>5</v>
      </c>
      <c r="D22" s="37" t="s">
        <v>362</v>
      </c>
      <c r="E22" s="37" t="s">
        <v>224</v>
      </c>
      <c r="F22" s="37" t="s">
        <v>225</v>
      </c>
      <c r="G22" s="33"/>
      <c r="H22" s="33"/>
      <c r="I22" s="33"/>
    </row>
    <row r="23" spans="1:9" ht="56">
      <c r="A23" s="33" t="s">
        <v>363</v>
      </c>
      <c r="B23" s="33">
        <v>20000000</v>
      </c>
      <c r="C23" s="33" t="s">
        <v>335</v>
      </c>
      <c r="D23" s="33" t="s">
        <v>364</v>
      </c>
      <c r="E23" s="33" t="s">
        <v>267</v>
      </c>
      <c r="F23" s="33" t="s">
        <v>276</v>
      </c>
      <c r="G23" s="33"/>
      <c r="H23" s="33"/>
      <c r="I23" s="33"/>
    </row>
    <row r="24" spans="1:9">
      <c r="A24" s="33"/>
      <c r="B24" s="33"/>
      <c r="C24" s="33"/>
      <c r="D24" s="33"/>
      <c r="E24" s="33"/>
      <c r="F24" s="33"/>
      <c r="G24" s="33"/>
      <c r="H24" s="33"/>
      <c r="I24" s="33"/>
    </row>
    <row r="25" spans="1:9">
      <c r="A25" s="33"/>
      <c r="B25" s="33"/>
      <c r="C25" s="33"/>
      <c r="D25" s="33"/>
      <c r="E25" s="33"/>
      <c r="F25" s="33"/>
      <c r="G25" s="33"/>
      <c r="H25" s="33"/>
      <c r="I25" s="33"/>
    </row>
    <row r="26" spans="1:9">
      <c r="A26" s="33"/>
      <c r="B26" s="33"/>
      <c r="C26" s="33"/>
      <c r="D26" s="33"/>
      <c r="E26" s="33"/>
      <c r="F26" s="33"/>
      <c r="G26" s="33"/>
      <c r="H26" s="33"/>
      <c r="I26" s="33"/>
    </row>
    <row r="27" spans="1:9">
      <c r="A27" s="33"/>
      <c r="B27" s="33"/>
      <c r="C27" s="33"/>
      <c r="D27" s="33"/>
      <c r="E27" s="33"/>
      <c r="F27" s="33"/>
      <c r="G27" s="33"/>
      <c r="H27" s="33"/>
      <c r="I27" s="33"/>
    </row>
    <row r="28" spans="1:9">
      <c r="A28" s="33"/>
      <c r="B28" s="33"/>
      <c r="C28" s="33"/>
      <c r="D28" s="33"/>
      <c r="E28" s="33"/>
      <c r="F28" s="33"/>
      <c r="G28" s="33"/>
      <c r="H28" s="33"/>
      <c r="I28" s="33"/>
    </row>
    <row r="29" spans="1:9">
      <c r="A29" s="33"/>
      <c r="B29" s="33"/>
      <c r="C29" s="33"/>
      <c r="D29" s="33"/>
      <c r="E29" s="33"/>
      <c r="F29" s="33"/>
      <c r="G29" s="33"/>
      <c r="H29" s="33"/>
      <c r="I29" s="33"/>
    </row>
    <row r="30" spans="1:9">
      <c r="A30" s="33"/>
      <c r="B30" s="33"/>
      <c r="C30" s="33"/>
      <c r="D30" s="33"/>
      <c r="E30" s="33"/>
      <c r="F30" s="33"/>
      <c r="G30" s="33"/>
      <c r="H30" s="33"/>
      <c r="I30" s="33"/>
    </row>
    <row r="31" spans="1:9">
      <c r="A31" s="33"/>
      <c r="B31" s="33"/>
      <c r="C31" s="33"/>
      <c r="D31" s="33"/>
      <c r="E31" s="33"/>
      <c r="F31" s="33"/>
      <c r="G31" s="33"/>
      <c r="H31" s="33"/>
      <c r="I31" s="33"/>
    </row>
    <row r="32" spans="1:9">
      <c r="A32" s="33"/>
      <c r="B32" s="33"/>
      <c r="C32" s="33"/>
      <c r="D32" s="33"/>
      <c r="E32" s="33"/>
      <c r="F32" s="33"/>
      <c r="G32" s="33"/>
      <c r="H32" s="33"/>
      <c r="I32" s="33"/>
    </row>
    <row r="33" spans="1:9">
      <c r="A33" s="33"/>
      <c r="B33" s="33"/>
      <c r="C33" s="33"/>
      <c r="D33" s="33"/>
      <c r="E33" s="33"/>
      <c r="F33" s="33"/>
      <c r="G33" s="33"/>
      <c r="H33" s="33"/>
      <c r="I33" s="33"/>
    </row>
    <row r="34" spans="1:9">
      <c r="A34" s="33"/>
      <c r="B34" s="33"/>
      <c r="C34" s="33"/>
      <c r="D34" s="33"/>
      <c r="E34" s="33"/>
      <c r="F34" s="33"/>
      <c r="G34" s="33"/>
      <c r="H34" s="33"/>
      <c r="I34" s="33"/>
    </row>
    <row r="35" spans="1:9">
      <c r="A35" s="33"/>
      <c r="B35" s="33"/>
      <c r="C35" s="33"/>
      <c r="D35" s="33"/>
      <c r="E35" s="33"/>
      <c r="F35" s="33"/>
      <c r="G35" s="33"/>
      <c r="H35" s="33"/>
      <c r="I35" s="33"/>
    </row>
    <row r="36" spans="1:9">
      <c r="A36" s="33"/>
      <c r="B36" s="33"/>
      <c r="C36" s="33"/>
      <c r="D36" s="33"/>
      <c r="E36" s="33"/>
      <c r="F36" s="33"/>
      <c r="G36" s="33"/>
      <c r="H36" s="33"/>
      <c r="I36" s="33"/>
    </row>
    <row r="37" spans="1:9">
      <c r="A37" s="33"/>
      <c r="B37" s="33"/>
      <c r="C37" s="33"/>
      <c r="D37" s="33"/>
      <c r="E37" s="33"/>
      <c r="F37" s="33"/>
      <c r="G37" s="33"/>
      <c r="H37" s="33"/>
      <c r="I37" s="33"/>
    </row>
    <row r="38" spans="1:9">
      <c r="A38" s="33"/>
      <c r="B38" s="33"/>
      <c r="C38" s="33"/>
      <c r="D38" s="33"/>
      <c r="E38" s="33"/>
      <c r="F38" s="33"/>
      <c r="G38" s="33"/>
      <c r="H38" s="33"/>
      <c r="I38" s="33"/>
    </row>
    <row r="39" spans="1:9">
      <c r="A39" s="33"/>
      <c r="B39" s="33"/>
      <c r="C39" s="33"/>
      <c r="D39" s="33"/>
      <c r="E39" s="33"/>
      <c r="F39" s="33"/>
      <c r="G39" s="33"/>
      <c r="H39" s="33"/>
      <c r="I39" s="33"/>
    </row>
    <row r="40" spans="1:9">
      <c r="A40" s="33"/>
      <c r="B40" s="33"/>
      <c r="C40" s="33"/>
      <c r="D40" s="33"/>
      <c r="E40" s="33"/>
      <c r="F40" s="33"/>
      <c r="G40" s="33"/>
      <c r="H40" s="33"/>
      <c r="I40" s="33"/>
    </row>
    <row r="41" spans="1:9">
      <c r="A41" s="33"/>
      <c r="B41" s="33"/>
      <c r="C41" s="33"/>
      <c r="D41" s="33"/>
      <c r="E41" s="33"/>
      <c r="F41" s="33"/>
      <c r="G41" s="33"/>
      <c r="H41" s="33"/>
      <c r="I41" s="33"/>
    </row>
    <row r="42" spans="1:9">
      <c r="A42" s="33"/>
      <c r="B42" s="33"/>
      <c r="C42" s="33"/>
      <c r="D42" s="33"/>
      <c r="E42" s="33"/>
      <c r="F42" s="33"/>
      <c r="G42" s="33"/>
      <c r="H42" s="33"/>
      <c r="I42" s="33"/>
    </row>
    <row r="43" spans="1:9">
      <c r="A43" s="33"/>
      <c r="B43" s="33"/>
      <c r="C43" s="33"/>
      <c r="D43" s="33"/>
      <c r="E43" s="33"/>
      <c r="F43" s="33"/>
      <c r="G43" s="33"/>
      <c r="H43" s="33"/>
      <c r="I43" s="33"/>
    </row>
    <row r="44" spans="1:9">
      <c r="A44" s="33"/>
      <c r="B44" s="33"/>
      <c r="C44" s="33"/>
      <c r="D44" s="33"/>
      <c r="E44" s="33"/>
      <c r="F44" s="33"/>
      <c r="G44" s="33"/>
      <c r="H44" s="33"/>
      <c r="I44" s="33"/>
    </row>
    <row r="45" spans="1:9">
      <c r="A45" s="33"/>
      <c r="B45" s="33"/>
      <c r="C45" s="33"/>
      <c r="D45" s="33"/>
      <c r="E45" s="33"/>
      <c r="F45" s="33"/>
      <c r="G45" s="33"/>
      <c r="H45" s="33"/>
      <c r="I45" s="33"/>
    </row>
    <row r="46" spans="1:9">
      <c r="A46" s="33"/>
      <c r="B46" s="33"/>
      <c r="C46" s="33"/>
      <c r="D46" s="33"/>
      <c r="E46" s="33"/>
      <c r="F46" s="33"/>
      <c r="G46" s="33"/>
      <c r="H46" s="33"/>
      <c r="I46" s="33"/>
    </row>
    <row r="47" spans="1:9">
      <c r="A47" s="33"/>
      <c r="B47" s="33"/>
      <c r="C47" s="33"/>
      <c r="D47" s="33"/>
      <c r="E47" s="33"/>
      <c r="F47" s="33"/>
      <c r="G47" s="33"/>
      <c r="H47" s="33"/>
      <c r="I47" s="33"/>
    </row>
    <row r="48" spans="1:9">
      <c r="A48" s="33"/>
      <c r="B48" s="33"/>
      <c r="C48" s="33"/>
      <c r="D48" s="33"/>
      <c r="E48" s="33"/>
      <c r="F48" s="33"/>
      <c r="G48" s="33"/>
      <c r="H48" s="33"/>
      <c r="I48" s="33"/>
    </row>
    <row r="49" spans="1:9">
      <c r="A49" s="33"/>
      <c r="B49" s="33"/>
      <c r="C49" s="33"/>
      <c r="D49" s="33"/>
      <c r="E49" s="33"/>
      <c r="F49" s="33"/>
      <c r="G49" s="33"/>
      <c r="H49" s="33"/>
      <c r="I49" s="33"/>
    </row>
    <row r="50" spans="1:9">
      <c r="A50" s="33"/>
      <c r="B50" s="33"/>
      <c r="C50" s="33"/>
      <c r="D50" s="33"/>
      <c r="E50" s="33"/>
      <c r="F50" s="33"/>
      <c r="G50" s="33"/>
      <c r="H50" s="33"/>
      <c r="I50" s="33"/>
    </row>
    <row r="51" spans="1:9">
      <c r="A51" s="33"/>
      <c r="B51" s="33"/>
      <c r="C51" s="33"/>
      <c r="D51" s="33"/>
      <c r="E51" s="33"/>
      <c r="F51" s="33"/>
      <c r="G51" s="33"/>
      <c r="H51" s="33"/>
      <c r="I51" s="33"/>
    </row>
    <row r="52" spans="1:9">
      <c r="A52" s="33"/>
      <c r="B52" s="33"/>
      <c r="C52" s="33"/>
      <c r="D52" s="33"/>
      <c r="E52" s="33"/>
      <c r="F52" s="33"/>
      <c r="G52" s="33"/>
      <c r="H52" s="33"/>
      <c r="I52" s="33"/>
    </row>
    <row r="53" spans="1:9">
      <c r="A53" s="33"/>
      <c r="B53" s="33"/>
      <c r="C53" s="33"/>
      <c r="D53" s="33"/>
      <c r="E53" s="33"/>
      <c r="F53" s="33"/>
      <c r="G53" s="33"/>
      <c r="H53" s="33"/>
      <c r="I53" s="33"/>
    </row>
    <row r="54" spans="1:9">
      <c r="A54" s="33"/>
      <c r="B54" s="33"/>
      <c r="C54" s="33"/>
      <c r="D54" s="33"/>
      <c r="E54" s="33"/>
      <c r="F54" s="33"/>
      <c r="G54" s="33"/>
      <c r="H54" s="33"/>
      <c r="I54" s="33"/>
    </row>
    <row r="55" spans="1:9">
      <c r="A55" s="33"/>
      <c r="B55" s="33"/>
      <c r="C55" s="33"/>
      <c r="D55" s="33"/>
      <c r="E55" s="33"/>
      <c r="F55" s="33"/>
      <c r="G55" s="33"/>
      <c r="H55" s="33"/>
      <c r="I55" s="33"/>
    </row>
    <row r="56" spans="1:9">
      <c r="A56" s="33"/>
      <c r="B56" s="33"/>
      <c r="C56" s="33"/>
      <c r="D56" s="33"/>
      <c r="E56" s="33"/>
      <c r="F56" s="33"/>
      <c r="G56" s="33"/>
      <c r="H56" s="33"/>
      <c r="I56" s="33"/>
    </row>
    <row r="57" spans="1:9">
      <c r="A57" s="33"/>
      <c r="B57" s="33"/>
      <c r="C57" s="33"/>
      <c r="D57" s="33"/>
      <c r="E57" s="33"/>
      <c r="F57" s="33"/>
      <c r="G57" s="33"/>
      <c r="H57" s="33"/>
      <c r="I57" s="33"/>
    </row>
    <row r="58" spans="1:9">
      <c r="A58" s="33"/>
      <c r="B58" s="33"/>
      <c r="C58" s="33"/>
      <c r="D58" s="33"/>
      <c r="E58" s="33"/>
      <c r="F58" s="33"/>
      <c r="G58" s="33"/>
      <c r="H58" s="33"/>
      <c r="I58" s="33"/>
    </row>
    <row r="59" spans="1:9">
      <c r="A59" s="33"/>
      <c r="B59" s="33"/>
      <c r="C59" s="33"/>
      <c r="D59" s="33"/>
      <c r="E59" s="33"/>
      <c r="F59" s="33"/>
      <c r="G59" s="33"/>
      <c r="H59" s="33"/>
      <c r="I59" s="33"/>
    </row>
    <row r="60" spans="1:9">
      <c r="A60" s="33"/>
      <c r="B60" s="33"/>
      <c r="C60" s="33"/>
      <c r="D60" s="33"/>
      <c r="E60" s="33"/>
      <c r="F60" s="33"/>
      <c r="G60" s="33"/>
      <c r="H60" s="33"/>
      <c r="I60" s="33"/>
    </row>
  </sheetData>
  <mergeCells count="5">
    <mergeCell ref="A1:I1"/>
    <mergeCell ref="A2:I2"/>
    <mergeCell ref="A4:I4"/>
    <mergeCell ref="A11:I11"/>
    <mergeCell ref="A21:I2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6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/>
  <cols>
    <col min="1" max="1" width="20" customWidth="1"/>
    <col min="2" max="6" width="16" customWidth="1"/>
    <col min="7" max="8" width="38" customWidth="1"/>
    <col min="9" max="9" width="42" customWidth="1"/>
    <col min="11" max="18" width="12" customWidth="1"/>
  </cols>
  <sheetData>
    <row r="1" spans="1:9" ht="23">
      <c r="A1" s="66" t="s">
        <v>365</v>
      </c>
      <c r="B1" s="66"/>
      <c r="C1" s="66"/>
      <c r="D1" s="66"/>
      <c r="E1" s="66"/>
      <c r="F1" s="66"/>
      <c r="G1" s="66"/>
      <c r="H1" s="66"/>
      <c r="I1" s="66"/>
    </row>
    <row r="2" spans="1:9">
      <c r="A2" s="67" t="s">
        <v>366</v>
      </c>
      <c r="B2" s="67"/>
      <c r="C2" s="67"/>
      <c r="D2" s="67"/>
      <c r="E2" s="67"/>
      <c r="F2" s="67"/>
      <c r="G2" s="67"/>
      <c r="H2" s="67"/>
      <c r="I2" s="67"/>
    </row>
    <row r="3" spans="1:9">
      <c r="A3" s="33"/>
      <c r="B3" s="33"/>
      <c r="C3" s="33"/>
      <c r="D3" s="33"/>
      <c r="E3" s="33"/>
      <c r="F3" s="33"/>
      <c r="G3" s="33"/>
      <c r="H3" s="33"/>
      <c r="I3" s="33"/>
    </row>
    <row r="4" spans="1:9">
      <c r="A4" s="68" t="s">
        <v>367</v>
      </c>
      <c r="B4" s="68"/>
      <c r="C4" s="68"/>
      <c r="D4" s="68"/>
      <c r="E4" s="68"/>
      <c r="F4" s="68"/>
      <c r="G4" s="68"/>
      <c r="H4" s="68"/>
      <c r="I4" s="68"/>
    </row>
    <row r="5" spans="1:9" ht="42">
      <c r="A5" s="37" t="s">
        <v>332</v>
      </c>
      <c r="B5" s="37" t="s">
        <v>368</v>
      </c>
      <c r="C5" s="37" t="s">
        <v>369</v>
      </c>
      <c r="D5" s="37" t="s">
        <v>370</v>
      </c>
      <c r="E5" s="37" t="s">
        <v>371</v>
      </c>
      <c r="F5" s="37" t="s">
        <v>372</v>
      </c>
      <c r="G5" s="37" t="s">
        <v>373</v>
      </c>
      <c r="H5" s="37" t="s">
        <v>374</v>
      </c>
      <c r="I5" s="37" t="s">
        <v>375</v>
      </c>
    </row>
    <row r="6" spans="1:9" ht="42">
      <c r="A6" s="33" t="s">
        <v>376</v>
      </c>
      <c r="B6" s="33">
        <v>2027</v>
      </c>
      <c r="C6" s="34">
        <v>3</v>
      </c>
      <c r="D6" s="34">
        <v>4</v>
      </c>
      <c r="E6" s="34">
        <v>3</v>
      </c>
      <c r="F6" s="34">
        <v>8</v>
      </c>
      <c r="G6" s="33" t="s">
        <v>377</v>
      </c>
      <c r="H6" s="33" t="s">
        <v>378</v>
      </c>
      <c r="I6" s="33" t="s">
        <v>379</v>
      </c>
    </row>
    <row r="7" spans="1:9" ht="42">
      <c r="A7" s="33" t="s">
        <v>380</v>
      </c>
      <c r="B7" s="33">
        <v>2028</v>
      </c>
      <c r="C7" s="34">
        <v>2</v>
      </c>
      <c r="D7" s="34">
        <v>5</v>
      </c>
      <c r="E7" s="34">
        <v>5</v>
      </c>
      <c r="F7" s="34">
        <v>9.5</v>
      </c>
      <c r="G7" s="33" t="s">
        <v>381</v>
      </c>
      <c r="H7" s="33" t="s">
        <v>382</v>
      </c>
      <c r="I7" s="33" t="s">
        <v>281</v>
      </c>
    </row>
    <row r="8" spans="1:9" ht="42">
      <c r="A8" s="33" t="s">
        <v>383</v>
      </c>
      <c r="B8" s="33">
        <v>2028</v>
      </c>
      <c r="C8" s="34">
        <v>2</v>
      </c>
      <c r="D8" s="34">
        <v>4.5</v>
      </c>
      <c r="E8" s="34">
        <v>5</v>
      </c>
      <c r="F8" s="34">
        <v>9</v>
      </c>
      <c r="G8" s="33" t="s">
        <v>384</v>
      </c>
      <c r="H8" s="33" t="s">
        <v>385</v>
      </c>
      <c r="I8" s="33" t="s">
        <v>286</v>
      </c>
    </row>
    <row r="9" spans="1:9" ht="28">
      <c r="A9" s="33" t="s">
        <v>386</v>
      </c>
      <c r="B9" s="33">
        <v>2029</v>
      </c>
      <c r="C9" s="34">
        <v>3.5</v>
      </c>
      <c r="D9" s="34">
        <v>4.5</v>
      </c>
      <c r="E9" s="34">
        <v>5</v>
      </c>
      <c r="F9" s="34">
        <v>7.5</v>
      </c>
      <c r="G9" s="33" t="s">
        <v>387</v>
      </c>
      <c r="H9" s="33" t="s">
        <v>388</v>
      </c>
      <c r="I9" s="33" t="s">
        <v>291</v>
      </c>
    </row>
    <row r="10" spans="1:9" ht="42">
      <c r="A10" s="33" t="s">
        <v>389</v>
      </c>
      <c r="B10" s="33">
        <v>2030</v>
      </c>
      <c r="C10" s="34">
        <v>4</v>
      </c>
      <c r="D10" s="34">
        <v>5</v>
      </c>
      <c r="E10" s="34">
        <v>4.5</v>
      </c>
      <c r="F10" s="34">
        <v>7</v>
      </c>
      <c r="G10" s="33" t="s">
        <v>390</v>
      </c>
      <c r="H10" s="33" t="s">
        <v>391</v>
      </c>
      <c r="I10" s="33" t="s">
        <v>296</v>
      </c>
    </row>
    <row r="11" spans="1:9" ht="28">
      <c r="A11" s="33" t="s">
        <v>392</v>
      </c>
      <c r="B11" s="33">
        <v>2030</v>
      </c>
      <c r="C11" s="34">
        <v>3</v>
      </c>
      <c r="D11" s="34">
        <v>4</v>
      </c>
      <c r="E11" s="34">
        <v>4</v>
      </c>
      <c r="F11" s="34">
        <v>6.5</v>
      </c>
      <c r="G11" s="33" t="s">
        <v>393</v>
      </c>
      <c r="H11" s="33" t="s">
        <v>394</v>
      </c>
      <c r="I11" s="33" t="s">
        <v>395</v>
      </c>
    </row>
    <row r="12" spans="1:9">
      <c r="A12" s="33"/>
      <c r="B12" s="33"/>
      <c r="C12" s="33"/>
      <c r="D12" s="33"/>
      <c r="E12" s="33"/>
      <c r="F12" s="33"/>
      <c r="G12" s="33"/>
      <c r="H12" s="33"/>
      <c r="I12" s="33"/>
    </row>
    <row r="13" spans="1:9">
      <c r="A13" s="68" t="s">
        <v>396</v>
      </c>
      <c r="B13" s="68"/>
      <c r="C13" s="68"/>
      <c r="D13" s="68"/>
      <c r="E13" s="68"/>
      <c r="F13" s="68"/>
      <c r="G13" s="68"/>
      <c r="H13" s="68"/>
      <c r="I13" s="68"/>
    </row>
    <row r="14" spans="1:9">
      <c r="A14" s="37" t="s">
        <v>397</v>
      </c>
      <c r="B14" s="37" t="s">
        <v>5</v>
      </c>
      <c r="C14" s="37">
        <v>2027</v>
      </c>
      <c r="D14" s="37">
        <v>2028</v>
      </c>
      <c r="E14" s="37">
        <v>2029</v>
      </c>
      <c r="F14" s="37">
        <v>2030</v>
      </c>
      <c r="G14" s="37">
        <v>2031</v>
      </c>
      <c r="H14" s="37">
        <v>2032</v>
      </c>
      <c r="I14" s="37">
        <v>2033</v>
      </c>
    </row>
    <row r="15" spans="1:9">
      <c r="A15" s="33" t="s">
        <v>376</v>
      </c>
      <c r="B15" s="33" t="s">
        <v>398</v>
      </c>
      <c r="C15" s="35">
        <v>1</v>
      </c>
      <c r="D15" s="35">
        <v>0.67</v>
      </c>
      <c r="E15" s="35">
        <v>0.51</v>
      </c>
      <c r="F15" s="35">
        <v>0.4</v>
      </c>
      <c r="G15" s="35">
        <v>0.3</v>
      </c>
      <c r="H15" s="35">
        <v>0.25</v>
      </c>
      <c r="I15" s="35">
        <v>0.2</v>
      </c>
    </row>
    <row r="16" spans="1:9">
      <c r="A16" s="33" t="s">
        <v>380</v>
      </c>
      <c r="B16" s="33" t="s">
        <v>398</v>
      </c>
      <c r="C16" s="35">
        <v>0</v>
      </c>
      <c r="D16" s="35">
        <v>0.21</v>
      </c>
      <c r="E16" s="35">
        <v>0.2</v>
      </c>
      <c r="F16" s="35">
        <v>0.2</v>
      </c>
      <c r="G16" s="35">
        <v>0.18</v>
      </c>
      <c r="H16" s="35">
        <v>0.16</v>
      </c>
      <c r="I16" s="35">
        <v>0.15</v>
      </c>
    </row>
    <row r="17" spans="1:18">
      <c r="A17" s="33" t="s">
        <v>383</v>
      </c>
      <c r="B17" s="33" t="s">
        <v>398</v>
      </c>
      <c r="C17" s="35">
        <v>0</v>
      </c>
      <c r="D17" s="35">
        <v>0.12</v>
      </c>
      <c r="E17" s="35">
        <v>0.16</v>
      </c>
      <c r="F17" s="35">
        <v>0.16</v>
      </c>
      <c r="G17" s="35">
        <v>0.16</v>
      </c>
      <c r="H17" s="35">
        <v>0.15</v>
      </c>
      <c r="I17" s="35">
        <v>0.15</v>
      </c>
    </row>
    <row r="18" spans="1:18">
      <c r="A18" s="33" t="s">
        <v>386</v>
      </c>
      <c r="B18" s="33" t="s">
        <v>398</v>
      </c>
      <c r="C18" s="35">
        <v>0</v>
      </c>
      <c r="D18" s="35">
        <v>0</v>
      </c>
      <c r="E18" s="35">
        <v>0.09</v>
      </c>
      <c r="F18" s="35">
        <v>0.1</v>
      </c>
      <c r="G18" s="35">
        <v>0.12</v>
      </c>
      <c r="H18" s="35">
        <v>0.12</v>
      </c>
      <c r="I18" s="35">
        <v>0.15</v>
      </c>
    </row>
    <row r="19" spans="1:18">
      <c r="A19" s="33" t="s">
        <v>389</v>
      </c>
      <c r="B19" s="33" t="s">
        <v>398</v>
      </c>
      <c r="C19" s="35">
        <v>0</v>
      </c>
      <c r="D19" s="35">
        <v>0</v>
      </c>
      <c r="E19" s="35">
        <v>0.04</v>
      </c>
      <c r="F19" s="35">
        <v>0.09</v>
      </c>
      <c r="G19" s="35">
        <v>0.12</v>
      </c>
      <c r="H19" s="35">
        <v>0.18</v>
      </c>
      <c r="I19" s="35">
        <v>0.2</v>
      </c>
    </row>
    <row r="20" spans="1:18">
      <c r="A20" s="33" t="s">
        <v>392</v>
      </c>
      <c r="B20" s="33" t="s">
        <v>398</v>
      </c>
      <c r="C20" s="35">
        <v>0</v>
      </c>
      <c r="D20" s="35">
        <v>0</v>
      </c>
      <c r="E20" s="35">
        <v>0</v>
      </c>
      <c r="F20" s="35">
        <v>0.05</v>
      </c>
      <c r="G20" s="35">
        <v>0.12</v>
      </c>
      <c r="H20" s="35">
        <v>0.14000000000000001</v>
      </c>
      <c r="I20" s="35">
        <v>0.15</v>
      </c>
    </row>
    <row r="21" spans="1:18">
      <c r="A21" s="33"/>
      <c r="B21" s="33"/>
      <c r="C21" s="33"/>
      <c r="D21" s="33"/>
      <c r="E21" s="33"/>
      <c r="F21" s="33"/>
      <c r="G21" s="33"/>
      <c r="H21" s="33"/>
      <c r="I21" s="33"/>
    </row>
    <row r="22" spans="1:18" ht="28">
      <c r="A22" s="68" t="s">
        <v>399</v>
      </c>
      <c r="B22" s="68"/>
      <c r="C22" s="68"/>
      <c r="D22" s="68"/>
      <c r="E22" s="68"/>
      <c r="F22" s="68"/>
      <c r="G22" s="68"/>
      <c r="H22" s="68"/>
      <c r="I22" s="68"/>
      <c r="K22" s="32" t="s">
        <v>400</v>
      </c>
      <c r="L22" s="32" t="s">
        <v>376</v>
      </c>
      <c r="M22" s="32" t="s">
        <v>380</v>
      </c>
      <c r="N22" s="32" t="s">
        <v>383</v>
      </c>
      <c r="O22" s="32" t="s">
        <v>386</v>
      </c>
      <c r="P22" s="32" t="s">
        <v>389</v>
      </c>
      <c r="Q22" s="32" t="s">
        <v>392</v>
      </c>
      <c r="R22" s="32" t="s">
        <v>401</v>
      </c>
    </row>
    <row r="23" spans="1:18">
      <c r="A23" s="37" t="s">
        <v>397</v>
      </c>
      <c r="B23" s="37" t="s">
        <v>5</v>
      </c>
      <c r="C23" s="37">
        <v>2027</v>
      </c>
      <c r="D23" s="37">
        <v>2028</v>
      </c>
      <c r="E23" s="37">
        <v>2029</v>
      </c>
      <c r="F23" s="37">
        <v>2030</v>
      </c>
      <c r="G23" s="37">
        <v>2031</v>
      </c>
      <c r="H23" s="37">
        <v>2032</v>
      </c>
      <c r="I23" s="37">
        <v>2033</v>
      </c>
      <c r="K23" s="43">
        <v>2027</v>
      </c>
      <c r="L23" s="43">
        <f>C24</f>
        <v>15</v>
      </c>
      <c r="M23" s="43">
        <f>C25</f>
        <v>0</v>
      </c>
      <c r="N23" s="43">
        <f>C26</f>
        <v>0</v>
      </c>
      <c r="O23" s="43">
        <f>C27</f>
        <v>0</v>
      </c>
      <c r="P23" s="43">
        <f>C28</f>
        <v>0</v>
      </c>
      <c r="Q23" s="43">
        <f>C29</f>
        <v>0</v>
      </c>
      <c r="R23" s="43">
        <f t="shared" ref="R23:R29" si="0">SUM(L23:Q23)</f>
        <v>15</v>
      </c>
    </row>
    <row r="24" spans="1:18">
      <c r="A24" s="33" t="s">
        <v>376</v>
      </c>
      <c r="B24" s="33" t="s">
        <v>56</v>
      </c>
      <c r="C24" s="38">
        <f>Ventes!C7*C15</f>
        <v>15</v>
      </c>
      <c r="D24" s="38">
        <f>Ventes!D7*D15</f>
        <v>80.400000000000006</v>
      </c>
      <c r="E24" s="38">
        <f>Ventes!E7*E15</f>
        <v>229.5</v>
      </c>
      <c r="F24" s="38">
        <f>Ventes!F7*F15</f>
        <v>440</v>
      </c>
      <c r="G24" s="38">
        <f>Ventes!G7*G15</f>
        <v>660</v>
      </c>
      <c r="H24" s="38">
        <f>Ventes!H7*H15</f>
        <v>875</v>
      </c>
      <c r="I24" s="38">
        <f>Ventes!I7*I15</f>
        <v>1000</v>
      </c>
      <c r="K24" s="43">
        <v>2028</v>
      </c>
      <c r="L24" s="43">
        <f>D24</f>
        <v>80.400000000000006</v>
      </c>
      <c r="M24" s="43">
        <f>D25</f>
        <v>25.2</v>
      </c>
      <c r="N24" s="43">
        <f>D26</f>
        <v>14.399999999999999</v>
      </c>
      <c r="O24" s="43">
        <f>D27</f>
        <v>0</v>
      </c>
      <c r="P24" s="43">
        <f>D28</f>
        <v>0</v>
      </c>
      <c r="Q24" s="43">
        <f>D29</f>
        <v>0</v>
      </c>
      <c r="R24" s="43">
        <f t="shared" si="0"/>
        <v>120</v>
      </c>
    </row>
    <row r="25" spans="1:18">
      <c r="A25" s="33" t="s">
        <v>380</v>
      </c>
      <c r="B25" s="33" t="s">
        <v>56</v>
      </c>
      <c r="C25" s="38">
        <f>Ventes!C7*C16</f>
        <v>0</v>
      </c>
      <c r="D25" s="38">
        <f>Ventes!D7*D16</f>
        <v>25.2</v>
      </c>
      <c r="E25" s="38">
        <f>Ventes!E7*E16</f>
        <v>90</v>
      </c>
      <c r="F25" s="38">
        <f>Ventes!F7*F16</f>
        <v>220</v>
      </c>
      <c r="G25" s="38">
        <f>Ventes!G7*G16</f>
        <v>396</v>
      </c>
      <c r="H25" s="38">
        <f>Ventes!H7*H16</f>
        <v>560</v>
      </c>
      <c r="I25" s="38">
        <f>Ventes!I7*I16</f>
        <v>750</v>
      </c>
      <c r="K25" s="43">
        <v>2029</v>
      </c>
      <c r="L25" s="43">
        <f>E24</f>
        <v>229.5</v>
      </c>
      <c r="M25" s="43">
        <f>E25</f>
        <v>90</v>
      </c>
      <c r="N25" s="43">
        <f>E26</f>
        <v>72</v>
      </c>
      <c r="O25" s="43">
        <f>E27</f>
        <v>40.5</v>
      </c>
      <c r="P25" s="43">
        <f>E28</f>
        <v>18</v>
      </c>
      <c r="Q25" s="43">
        <f>E29</f>
        <v>0</v>
      </c>
      <c r="R25" s="43">
        <f t="shared" si="0"/>
        <v>450</v>
      </c>
    </row>
    <row r="26" spans="1:18">
      <c r="A26" s="33" t="s">
        <v>383</v>
      </c>
      <c r="B26" s="33" t="s">
        <v>56</v>
      </c>
      <c r="C26" s="38">
        <f>Ventes!C7*C17</f>
        <v>0</v>
      </c>
      <c r="D26" s="38">
        <f>Ventes!D7*D17</f>
        <v>14.399999999999999</v>
      </c>
      <c r="E26" s="38">
        <f>Ventes!E7*E17</f>
        <v>72</v>
      </c>
      <c r="F26" s="38">
        <f>Ventes!F7*F17</f>
        <v>176</v>
      </c>
      <c r="G26" s="38">
        <f>Ventes!G7*G17</f>
        <v>352</v>
      </c>
      <c r="H26" s="38">
        <f>Ventes!H7*H17</f>
        <v>525</v>
      </c>
      <c r="I26" s="38">
        <f>Ventes!I7*I17</f>
        <v>750</v>
      </c>
      <c r="K26" s="43">
        <v>2030</v>
      </c>
      <c r="L26" s="43">
        <f>F24</f>
        <v>440</v>
      </c>
      <c r="M26" s="43">
        <f>F25</f>
        <v>220</v>
      </c>
      <c r="N26" s="43">
        <f>F26</f>
        <v>176</v>
      </c>
      <c r="O26" s="43">
        <f>F27</f>
        <v>110</v>
      </c>
      <c r="P26" s="43">
        <f>F28</f>
        <v>99</v>
      </c>
      <c r="Q26" s="43">
        <f>F29</f>
        <v>55</v>
      </c>
      <c r="R26" s="43">
        <f t="shared" si="0"/>
        <v>1100</v>
      </c>
    </row>
    <row r="27" spans="1:18">
      <c r="A27" s="33" t="s">
        <v>386</v>
      </c>
      <c r="B27" s="33" t="s">
        <v>56</v>
      </c>
      <c r="C27" s="38">
        <f>Ventes!C7*C18</f>
        <v>0</v>
      </c>
      <c r="D27" s="38">
        <f>Ventes!D7*D18</f>
        <v>0</v>
      </c>
      <c r="E27" s="38">
        <f>Ventes!E7*E18</f>
        <v>40.5</v>
      </c>
      <c r="F27" s="38">
        <f>Ventes!F7*F18</f>
        <v>110</v>
      </c>
      <c r="G27" s="38">
        <f>Ventes!G7*G18</f>
        <v>264</v>
      </c>
      <c r="H27" s="38">
        <f>Ventes!H7*H18</f>
        <v>420</v>
      </c>
      <c r="I27" s="38">
        <f>Ventes!I7*I18</f>
        <v>750</v>
      </c>
      <c r="K27" s="43">
        <v>2031</v>
      </c>
      <c r="L27" s="43">
        <f>G24</f>
        <v>660</v>
      </c>
      <c r="M27" s="43">
        <f>G25</f>
        <v>396</v>
      </c>
      <c r="N27" s="43">
        <f>G26</f>
        <v>352</v>
      </c>
      <c r="O27" s="43">
        <f>G27</f>
        <v>264</v>
      </c>
      <c r="P27" s="43">
        <f>G28</f>
        <v>264</v>
      </c>
      <c r="Q27" s="43">
        <f>G29</f>
        <v>264</v>
      </c>
      <c r="R27" s="43">
        <f t="shared" si="0"/>
        <v>2200</v>
      </c>
    </row>
    <row r="28" spans="1:18">
      <c r="A28" s="33" t="s">
        <v>389</v>
      </c>
      <c r="B28" s="33" t="s">
        <v>56</v>
      </c>
      <c r="C28" s="38">
        <f>Ventes!C7*C19</f>
        <v>0</v>
      </c>
      <c r="D28" s="38">
        <f>Ventes!D7*D19</f>
        <v>0</v>
      </c>
      <c r="E28" s="38">
        <f>Ventes!E7*E19</f>
        <v>18</v>
      </c>
      <c r="F28" s="38">
        <f>Ventes!F7*F19</f>
        <v>99</v>
      </c>
      <c r="G28" s="38">
        <f>Ventes!G7*G19</f>
        <v>264</v>
      </c>
      <c r="H28" s="38">
        <f>Ventes!H7*H19</f>
        <v>630</v>
      </c>
      <c r="I28" s="38">
        <f>Ventes!I7*I19</f>
        <v>1000</v>
      </c>
      <c r="K28" s="43">
        <v>2032</v>
      </c>
      <c r="L28" s="43">
        <f>H24</f>
        <v>875</v>
      </c>
      <c r="M28" s="43">
        <f>H25</f>
        <v>560</v>
      </c>
      <c r="N28" s="43">
        <f>H26</f>
        <v>525</v>
      </c>
      <c r="O28" s="43">
        <f>H27</f>
        <v>420</v>
      </c>
      <c r="P28" s="43">
        <f>H28</f>
        <v>630</v>
      </c>
      <c r="Q28" s="43">
        <f>H29</f>
        <v>490.00000000000006</v>
      </c>
      <c r="R28" s="43">
        <f t="shared" si="0"/>
        <v>3500</v>
      </c>
    </row>
    <row r="29" spans="1:18">
      <c r="A29" s="33" t="s">
        <v>392</v>
      </c>
      <c r="B29" s="33" t="s">
        <v>56</v>
      </c>
      <c r="C29" s="38">
        <f>Ventes!C7*C20</f>
        <v>0</v>
      </c>
      <c r="D29" s="38">
        <f>Ventes!D7*D20</f>
        <v>0</v>
      </c>
      <c r="E29" s="38">
        <f>Ventes!E7*E20</f>
        <v>0</v>
      </c>
      <c r="F29" s="38">
        <f>Ventes!F7*F20</f>
        <v>55</v>
      </c>
      <c r="G29" s="38">
        <f>Ventes!G7*G20</f>
        <v>264</v>
      </c>
      <c r="H29" s="38">
        <f>Ventes!H7*H20</f>
        <v>490.00000000000006</v>
      </c>
      <c r="I29" s="38">
        <f>Ventes!I7*I20</f>
        <v>750</v>
      </c>
      <c r="K29" s="43">
        <v>2033</v>
      </c>
      <c r="L29" s="43">
        <f>I24</f>
        <v>1000</v>
      </c>
      <c r="M29" s="43">
        <f>I25</f>
        <v>750</v>
      </c>
      <c r="N29" s="43">
        <f>I26</f>
        <v>750</v>
      </c>
      <c r="O29" s="43">
        <f>I27</f>
        <v>750</v>
      </c>
      <c r="P29" s="43">
        <f>I28</f>
        <v>1000</v>
      </c>
      <c r="Q29" s="43">
        <f>I29</f>
        <v>750</v>
      </c>
      <c r="R29" s="43">
        <f t="shared" si="0"/>
        <v>5000</v>
      </c>
    </row>
    <row r="30" spans="1:18">
      <c r="A30" s="36" t="s">
        <v>402</v>
      </c>
      <c r="B30" s="36" t="s">
        <v>56</v>
      </c>
      <c r="C30" s="39">
        <f t="shared" ref="C30:I30" si="1">SUM(C24:C29)</f>
        <v>15</v>
      </c>
      <c r="D30" s="39">
        <f t="shared" si="1"/>
        <v>120</v>
      </c>
      <c r="E30" s="39">
        <f t="shared" si="1"/>
        <v>450</v>
      </c>
      <c r="F30" s="39">
        <f t="shared" si="1"/>
        <v>1100</v>
      </c>
      <c r="G30" s="39">
        <f t="shared" si="1"/>
        <v>2200</v>
      </c>
      <c r="H30" s="39">
        <f t="shared" si="1"/>
        <v>3500</v>
      </c>
      <c r="I30" s="39">
        <f t="shared" si="1"/>
        <v>5000</v>
      </c>
    </row>
    <row r="31" spans="1:18">
      <c r="A31" s="33"/>
      <c r="B31" s="33"/>
      <c r="C31" s="33"/>
      <c r="D31" s="33"/>
      <c r="E31" s="33"/>
      <c r="F31" s="33"/>
      <c r="G31" s="33"/>
      <c r="H31" s="33"/>
      <c r="I31" s="33"/>
    </row>
    <row r="32" spans="1:18">
      <c r="A32" s="33"/>
      <c r="B32" s="33"/>
      <c r="C32" s="33"/>
      <c r="D32" s="33"/>
      <c r="E32" s="33"/>
      <c r="F32" s="33"/>
      <c r="G32" s="33"/>
      <c r="H32" s="33"/>
      <c r="I32" s="33"/>
    </row>
    <row r="33" spans="1:9">
      <c r="A33" s="33"/>
      <c r="B33" s="33"/>
      <c r="C33" s="33"/>
      <c r="D33" s="33"/>
      <c r="E33" s="33"/>
      <c r="F33" s="33"/>
      <c r="G33" s="33"/>
      <c r="H33" s="33"/>
      <c r="I33" s="33"/>
    </row>
    <row r="34" spans="1:9">
      <c r="A34" s="33"/>
      <c r="B34" s="33"/>
      <c r="C34" s="33"/>
      <c r="D34" s="33"/>
      <c r="E34" s="33"/>
      <c r="F34" s="33"/>
      <c r="G34" s="33"/>
      <c r="H34" s="33"/>
      <c r="I34" s="33"/>
    </row>
    <row r="35" spans="1:9">
      <c r="A35" s="33"/>
      <c r="B35" s="33"/>
      <c r="C35" s="33"/>
      <c r="D35" s="33"/>
      <c r="E35" s="33"/>
      <c r="F35" s="33"/>
      <c r="G35" s="33"/>
      <c r="H35" s="33"/>
      <c r="I35" s="33"/>
    </row>
    <row r="36" spans="1:9">
      <c r="A36" s="33"/>
      <c r="B36" s="33"/>
      <c r="C36" s="33"/>
      <c r="D36" s="33"/>
      <c r="E36" s="33"/>
      <c r="F36" s="33"/>
      <c r="G36" s="33"/>
      <c r="H36" s="33"/>
      <c r="I36" s="33"/>
    </row>
    <row r="37" spans="1:9">
      <c r="A37" s="33"/>
      <c r="B37" s="33"/>
      <c r="C37" s="33"/>
      <c r="D37" s="33"/>
      <c r="E37" s="33"/>
      <c r="F37" s="33"/>
      <c r="G37" s="33"/>
      <c r="H37" s="33"/>
      <c r="I37" s="33"/>
    </row>
    <row r="38" spans="1:9">
      <c r="A38" s="33"/>
      <c r="B38" s="33"/>
      <c r="C38" s="33"/>
      <c r="D38" s="33"/>
      <c r="E38" s="33"/>
      <c r="F38" s="33"/>
      <c r="G38" s="33"/>
      <c r="H38" s="33"/>
      <c r="I38" s="33"/>
    </row>
    <row r="39" spans="1:9">
      <c r="A39" s="33"/>
      <c r="B39" s="33"/>
      <c r="C39" s="33"/>
      <c r="D39" s="33"/>
      <c r="E39" s="33"/>
      <c r="F39" s="33"/>
      <c r="G39" s="33"/>
      <c r="H39" s="33"/>
      <c r="I39" s="33"/>
    </row>
    <row r="40" spans="1:9">
      <c r="A40" s="33"/>
      <c r="B40" s="33"/>
      <c r="C40" s="33"/>
      <c r="D40" s="33"/>
      <c r="E40" s="33"/>
      <c r="F40" s="33"/>
      <c r="G40" s="33"/>
      <c r="H40" s="33"/>
      <c r="I40" s="33"/>
    </row>
    <row r="41" spans="1:9">
      <c r="A41" s="33"/>
      <c r="B41" s="33"/>
      <c r="C41" s="33"/>
      <c r="D41" s="33"/>
      <c r="E41" s="33"/>
      <c r="F41" s="33"/>
      <c r="G41" s="33"/>
      <c r="H41" s="33"/>
      <c r="I41" s="33"/>
    </row>
    <row r="42" spans="1:9">
      <c r="A42" s="33"/>
      <c r="B42" s="33"/>
      <c r="C42" s="33"/>
      <c r="D42" s="33"/>
      <c r="E42" s="33"/>
      <c r="F42" s="33"/>
      <c r="G42" s="33"/>
      <c r="H42" s="33"/>
      <c r="I42" s="33"/>
    </row>
    <row r="43" spans="1:9">
      <c r="A43" s="33"/>
      <c r="B43" s="33"/>
      <c r="C43" s="33"/>
      <c r="D43" s="33"/>
      <c r="E43" s="33"/>
      <c r="F43" s="33"/>
      <c r="G43" s="33"/>
      <c r="H43" s="33"/>
      <c r="I43" s="33"/>
    </row>
    <row r="44" spans="1:9">
      <c r="A44" s="33"/>
      <c r="B44" s="33"/>
      <c r="C44" s="33"/>
      <c r="D44" s="33"/>
      <c r="E44" s="33"/>
      <c r="F44" s="33"/>
      <c r="G44" s="33"/>
      <c r="H44" s="33"/>
      <c r="I44" s="33"/>
    </row>
    <row r="45" spans="1:9">
      <c r="A45" s="33"/>
      <c r="B45" s="33"/>
      <c r="C45" s="33"/>
      <c r="D45" s="33"/>
      <c r="E45" s="33"/>
      <c r="F45" s="33"/>
      <c r="G45" s="33"/>
      <c r="H45" s="33"/>
      <c r="I45" s="33"/>
    </row>
    <row r="46" spans="1:9">
      <c r="A46" s="33"/>
      <c r="B46" s="33"/>
      <c r="C46" s="33"/>
      <c r="D46" s="33"/>
      <c r="E46" s="33"/>
      <c r="F46" s="33"/>
      <c r="G46" s="33"/>
      <c r="H46" s="33"/>
      <c r="I46" s="33"/>
    </row>
    <row r="47" spans="1:9">
      <c r="A47" s="33"/>
      <c r="B47" s="33"/>
      <c r="C47" s="33"/>
      <c r="D47" s="33"/>
      <c r="E47" s="33"/>
      <c r="F47" s="33"/>
      <c r="G47" s="33"/>
      <c r="H47" s="33"/>
      <c r="I47" s="33"/>
    </row>
    <row r="48" spans="1:9">
      <c r="A48" s="33"/>
      <c r="B48" s="33"/>
      <c r="C48" s="33"/>
      <c r="D48" s="33"/>
      <c r="E48" s="33"/>
      <c r="F48" s="33"/>
      <c r="G48" s="33"/>
      <c r="H48" s="33"/>
      <c r="I48" s="33"/>
    </row>
    <row r="49" spans="1:9">
      <c r="A49" s="33"/>
      <c r="B49" s="33"/>
      <c r="C49" s="33"/>
      <c r="D49" s="33"/>
      <c r="E49" s="33"/>
      <c r="F49" s="33"/>
      <c r="G49" s="33"/>
      <c r="H49" s="33"/>
      <c r="I49" s="33"/>
    </row>
    <row r="50" spans="1:9">
      <c r="A50" s="33"/>
      <c r="B50" s="33"/>
      <c r="C50" s="33"/>
      <c r="D50" s="33"/>
      <c r="E50" s="33"/>
      <c r="F50" s="33"/>
      <c r="G50" s="33"/>
      <c r="H50" s="33"/>
      <c r="I50" s="33"/>
    </row>
    <row r="51" spans="1:9">
      <c r="A51" s="33"/>
      <c r="B51" s="33"/>
      <c r="C51" s="33"/>
      <c r="D51" s="33"/>
      <c r="E51" s="33"/>
      <c r="F51" s="33"/>
      <c r="G51" s="33"/>
      <c r="H51" s="33"/>
      <c r="I51" s="33"/>
    </row>
    <row r="52" spans="1:9">
      <c r="A52" s="33"/>
      <c r="B52" s="33"/>
      <c r="C52" s="33"/>
      <c r="D52" s="33"/>
      <c r="E52" s="33"/>
      <c r="F52" s="33"/>
      <c r="G52" s="33"/>
      <c r="H52" s="33"/>
      <c r="I52" s="33"/>
    </row>
    <row r="53" spans="1:9">
      <c r="A53" s="33"/>
      <c r="B53" s="33"/>
      <c r="C53" s="33"/>
      <c r="D53" s="33"/>
      <c r="E53" s="33"/>
      <c r="F53" s="33"/>
      <c r="G53" s="33"/>
      <c r="H53" s="33"/>
      <c r="I53" s="33"/>
    </row>
    <row r="54" spans="1:9">
      <c r="A54" s="33"/>
      <c r="B54" s="33"/>
      <c r="C54" s="33"/>
      <c r="D54" s="33"/>
      <c r="E54" s="33"/>
      <c r="F54" s="33"/>
      <c r="G54" s="33"/>
      <c r="H54" s="33"/>
      <c r="I54" s="33"/>
    </row>
    <row r="55" spans="1:9">
      <c r="A55" s="33"/>
      <c r="B55" s="33"/>
      <c r="C55" s="33"/>
      <c r="D55" s="33"/>
      <c r="E55" s="33"/>
      <c r="F55" s="33"/>
      <c r="G55" s="33"/>
      <c r="H55" s="33"/>
      <c r="I55" s="33"/>
    </row>
    <row r="56" spans="1:9">
      <c r="A56" s="33"/>
      <c r="B56" s="33"/>
      <c r="C56" s="33"/>
      <c r="D56" s="33"/>
      <c r="E56" s="33"/>
      <c r="F56" s="33"/>
      <c r="G56" s="33"/>
      <c r="H56" s="33"/>
      <c r="I56" s="33"/>
    </row>
    <row r="57" spans="1:9">
      <c r="A57" s="33"/>
      <c r="B57" s="33"/>
      <c r="C57" s="33"/>
      <c r="D57" s="33"/>
      <c r="E57" s="33"/>
      <c r="F57" s="33"/>
      <c r="G57" s="33"/>
      <c r="H57" s="33"/>
      <c r="I57" s="33"/>
    </row>
    <row r="58" spans="1:9">
      <c r="A58" s="33"/>
      <c r="B58" s="33"/>
      <c r="C58" s="33"/>
      <c r="D58" s="33"/>
      <c r="E58" s="33"/>
      <c r="F58" s="33"/>
      <c r="G58" s="33"/>
      <c r="H58" s="33"/>
      <c r="I58" s="33"/>
    </row>
    <row r="59" spans="1:9">
      <c r="A59" s="33"/>
      <c r="B59" s="33"/>
      <c r="C59" s="33"/>
      <c r="D59" s="33"/>
      <c r="E59" s="33"/>
      <c r="F59" s="33"/>
      <c r="G59" s="33"/>
      <c r="H59" s="33"/>
      <c r="I59" s="33"/>
    </row>
    <row r="60" spans="1:9">
      <c r="A60" s="33"/>
      <c r="B60" s="33"/>
      <c r="C60" s="33"/>
      <c r="D60" s="33"/>
      <c r="E60" s="33"/>
      <c r="F60" s="33"/>
      <c r="G60" s="33"/>
      <c r="H60" s="33"/>
      <c r="I60" s="33"/>
    </row>
  </sheetData>
  <mergeCells count="5">
    <mergeCell ref="A1:I1"/>
    <mergeCell ref="A2:I2"/>
    <mergeCell ref="A4:I4"/>
    <mergeCell ref="A13:I13"/>
    <mergeCell ref="A22:I2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/>
  <cols>
    <col min="1" max="5" width="35" customWidth="1"/>
    <col min="6" max="9" width="28" customWidth="1"/>
  </cols>
  <sheetData>
    <row r="1" spans="1:9" ht="23">
      <c r="A1" s="66" t="s">
        <v>403</v>
      </c>
      <c r="B1" s="66"/>
      <c r="C1" s="66"/>
      <c r="D1" s="66"/>
      <c r="E1" s="66"/>
      <c r="F1" s="66"/>
      <c r="G1" s="66"/>
      <c r="H1" s="66"/>
      <c r="I1" s="66"/>
    </row>
    <row r="2" spans="1:9">
      <c r="A2" s="67" t="s">
        <v>404</v>
      </c>
      <c r="B2" s="67"/>
      <c r="C2" s="67"/>
      <c r="D2" s="67"/>
      <c r="E2" s="67"/>
      <c r="F2" s="67"/>
      <c r="G2" s="67"/>
      <c r="H2" s="67"/>
      <c r="I2" s="67"/>
    </row>
    <row r="3" spans="1:9">
      <c r="A3" s="33"/>
      <c r="B3" s="33"/>
      <c r="C3" s="33"/>
      <c r="D3" s="33"/>
      <c r="E3" s="33"/>
      <c r="F3" s="33"/>
      <c r="G3" s="33"/>
      <c r="H3" s="33"/>
      <c r="I3" s="33"/>
    </row>
    <row r="4" spans="1:9">
      <c r="A4" s="68" t="s">
        <v>405</v>
      </c>
      <c r="B4" s="68"/>
      <c r="C4" s="68"/>
      <c r="D4" s="68"/>
      <c r="E4" s="68"/>
      <c r="F4" s="68"/>
      <c r="G4" s="68"/>
      <c r="H4" s="68"/>
      <c r="I4" s="68"/>
    </row>
    <row r="5" spans="1:9">
      <c r="A5" s="37" t="s">
        <v>406</v>
      </c>
      <c r="B5" s="37" t="s">
        <v>407</v>
      </c>
      <c r="C5" s="33"/>
      <c r="D5" s="37" t="s">
        <v>408</v>
      </c>
      <c r="E5" s="37" t="s">
        <v>409</v>
      </c>
      <c r="F5" s="33"/>
      <c r="G5" s="33"/>
      <c r="H5" s="33"/>
      <c r="I5" s="33"/>
    </row>
    <row r="6" spans="1:9" ht="42">
      <c r="A6" s="33" t="s">
        <v>410</v>
      </c>
      <c r="B6" s="33" t="s">
        <v>411</v>
      </c>
      <c r="C6" s="33"/>
      <c r="D6" s="33" t="s">
        <v>412</v>
      </c>
      <c r="E6" s="33" t="s">
        <v>413</v>
      </c>
      <c r="F6" s="33"/>
      <c r="G6" s="33"/>
      <c r="H6" s="33"/>
      <c r="I6" s="33"/>
    </row>
    <row r="7" spans="1:9" ht="42">
      <c r="A7" s="33" t="s">
        <v>414</v>
      </c>
      <c r="B7" s="33" t="s">
        <v>415</v>
      </c>
      <c r="C7" s="33"/>
      <c r="D7" s="33" t="s">
        <v>416</v>
      </c>
      <c r="E7" s="33" t="s">
        <v>417</v>
      </c>
      <c r="F7" s="33"/>
      <c r="G7" s="33"/>
      <c r="H7" s="33"/>
      <c r="I7" s="33"/>
    </row>
    <row r="8" spans="1:9" ht="28">
      <c r="A8" s="33" t="s">
        <v>418</v>
      </c>
      <c r="B8" s="33" t="s">
        <v>419</v>
      </c>
      <c r="C8" s="33"/>
      <c r="D8" s="33" t="s">
        <v>420</v>
      </c>
      <c r="E8" s="33" t="s">
        <v>421</v>
      </c>
      <c r="F8" s="33"/>
      <c r="G8" s="33"/>
      <c r="H8" s="33"/>
      <c r="I8" s="33"/>
    </row>
    <row r="9" spans="1:9" ht="28">
      <c r="A9" s="33" t="s">
        <v>422</v>
      </c>
      <c r="B9" s="33" t="s">
        <v>423</v>
      </c>
      <c r="C9" s="33"/>
      <c r="D9" s="33" t="s">
        <v>424</v>
      </c>
      <c r="E9" s="33" t="s">
        <v>425</v>
      </c>
      <c r="F9" s="33"/>
      <c r="G9" s="33"/>
      <c r="H9" s="33"/>
      <c r="I9" s="33"/>
    </row>
    <row r="10" spans="1:9" ht="42">
      <c r="A10" s="33" t="s">
        <v>426</v>
      </c>
      <c r="B10" s="33" t="s">
        <v>427</v>
      </c>
      <c r="C10" s="33"/>
      <c r="D10" s="33" t="s">
        <v>428</v>
      </c>
      <c r="E10" s="33" t="s">
        <v>429</v>
      </c>
      <c r="F10" s="33"/>
      <c r="G10" s="33"/>
      <c r="H10" s="33"/>
      <c r="I10" s="33"/>
    </row>
    <row r="11" spans="1:9">
      <c r="A11" s="33"/>
      <c r="B11" s="33"/>
      <c r="C11" s="33"/>
      <c r="D11" s="33"/>
      <c r="E11" s="33"/>
      <c r="F11" s="33"/>
      <c r="G11" s="33"/>
      <c r="H11" s="33"/>
      <c r="I11" s="33"/>
    </row>
    <row r="12" spans="1:9">
      <c r="A12" s="68" t="s">
        <v>430</v>
      </c>
      <c r="B12" s="68"/>
      <c r="C12" s="68"/>
      <c r="D12" s="68"/>
      <c r="E12" s="68"/>
      <c r="F12" s="68"/>
      <c r="G12" s="68"/>
      <c r="H12" s="68"/>
      <c r="I12" s="68"/>
    </row>
    <row r="13" spans="1:9">
      <c r="A13" s="37" t="s">
        <v>431</v>
      </c>
      <c r="B13" s="37" t="s">
        <v>432</v>
      </c>
      <c r="C13" s="37" t="s">
        <v>433</v>
      </c>
      <c r="D13" s="37" t="s">
        <v>434</v>
      </c>
      <c r="E13" s="37" t="s">
        <v>435</v>
      </c>
      <c r="F13" s="37" t="s">
        <v>436</v>
      </c>
      <c r="G13" s="37" t="s">
        <v>437</v>
      </c>
      <c r="H13" s="37" t="s">
        <v>438</v>
      </c>
      <c r="I13" s="37" t="s">
        <v>331</v>
      </c>
    </row>
    <row r="14" spans="1:9" ht="28">
      <c r="A14" s="33" t="s">
        <v>439</v>
      </c>
      <c r="B14" s="33" t="s">
        <v>440</v>
      </c>
      <c r="C14" s="33" t="s">
        <v>441</v>
      </c>
      <c r="D14" s="33" t="s">
        <v>442</v>
      </c>
      <c r="E14" s="33" t="s">
        <v>443</v>
      </c>
      <c r="F14" s="33" t="s">
        <v>444</v>
      </c>
      <c r="G14" s="33" t="s">
        <v>445</v>
      </c>
      <c r="H14" s="33" t="s">
        <v>446</v>
      </c>
      <c r="I14" s="33" t="s">
        <v>447</v>
      </c>
    </row>
    <row r="15" spans="1:9" ht="28">
      <c r="A15" s="33" t="s">
        <v>448</v>
      </c>
      <c r="B15" s="33" t="s">
        <v>449</v>
      </c>
      <c r="C15" s="33" t="s">
        <v>450</v>
      </c>
      <c r="D15" s="33" t="s">
        <v>451</v>
      </c>
      <c r="E15" s="33" t="s">
        <v>452</v>
      </c>
      <c r="F15" s="33" t="s">
        <v>453</v>
      </c>
      <c r="G15" s="33" t="s">
        <v>454</v>
      </c>
      <c r="H15" s="33" t="s">
        <v>455</v>
      </c>
      <c r="I15" s="33" t="s">
        <v>456</v>
      </c>
    </row>
    <row r="16" spans="1:9" ht="28">
      <c r="A16" s="33" t="s">
        <v>457</v>
      </c>
      <c r="B16" s="33" t="s">
        <v>458</v>
      </c>
      <c r="C16" s="33" t="s">
        <v>459</v>
      </c>
      <c r="D16" s="33" t="s">
        <v>460</v>
      </c>
      <c r="E16" s="33" t="s">
        <v>461</v>
      </c>
      <c r="F16" s="33" t="s">
        <v>462</v>
      </c>
      <c r="G16" s="33" t="s">
        <v>463</v>
      </c>
      <c r="H16" s="33" t="s">
        <v>464</v>
      </c>
      <c r="I16" s="33" t="s">
        <v>465</v>
      </c>
    </row>
    <row r="17" spans="1:9" ht="28">
      <c r="A17" s="33" t="s">
        <v>466</v>
      </c>
      <c r="B17" s="33" t="s">
        <v>467</v>
      </c>
      <c r="C17" s="33" t="s">
        <v>468</v>
      </c>
      <c r="D17" s="33" t="s">
        <v>469</v>
      </c>
      <c r="E17" s="33" t="s">
        <v>470</v>
      </c>
      <c r="F17" s="33" t="s">
        <v>471</v>
      </c>
      <c r="G17" s="33" t="s">
        <v>454</v>
      </c>
      <c r="H17" s="33" t="s">
        <v>472</v>
      </c>
      <c r="I17" s="33" t="s">
        <v>456</v>
      </c>
    </row>
    <row r="18" spans="1:9" ht="28">
      <c r="A18" s="33" t="s">
        <v>473</v>
      </c>
      <c r="B18" s="33" t="s">
        <v>474</v>
      </c>
      <c r="C18" s="33" t="s">
        <v>475</v>
      </c>
      <c r="D18" s="33" t="s">
        <v>476</v>
      </c>
      <c r="E18" s="33" t="s">
        <v>477</v>
      </c>
      <c r="F18" s="33" t="s">
        <v>478</v>
      </c>
      <c r="G18" s="33" t="s">
        <v>445</v>
      </c>
      <c r="H18" s="33" t="s">
        <v>479</v>
      </c>
      <c r="I18" s="33" t="s">
        <v>480</v>
      </c>
    </row>
    <row r="19" spans="1:9" ht="28">
      <c r="A19" s="33" t="s">
        <v>481</v>
      </c>
      <c r="B19" s="33" t="s">
        <v>482</v>
      </c>
      <c r="C19" s="33" t="s">
        <v>483</v>
      </c>
      <c r="D19" s="33" t="s">
        <v>484</v>
      </c>
      <c r="E19" s="33" t="s">
        <v>485</v>
      </c>
      <c r="F19" s="33" t="s">
        <v>486</v>
      </c>
      <c r="G19" s="33" t="s">
        <v>454</v>
      </c>
      <c r="H19" s="33" t="s">
        <v>487</v>
      </c>
      <c r="I19" s="33" t="s">
        <v>456</v>
      </c>
    </row>
    <row r="20" spans="1:9">
      <c r="A20" s="33"/>
      <c r="B20" s="33"/>
      <c r="C20" s="33"/>
      <c r="D20" s="33"/>
      <c r="E20" s="33"/>
      <c r="F20" s="33"/>
      <c r="G20" s="33"/>
      <c r="H20" s="33"/>
      <c r="I20" s="33"/>
    </row>
    <row r="21" spans="1:9">
      <c r="A21" s="33"/>
      <c r="B21" s="33"/>
      <c r="C21" s="33"/>
      <c r="D21" s="33"/>
      <c r="E21" s="33"/>
      <c r="F21" s="33"/>
      <c r="G21" s="33"/>
      <c r="H21" s="33"/>
      <c r="I21" s="33"/>
    </row>
    <row r="22" spans="1:9">
      <c r="A22" s="33"/>
      <c r="B22" s="33"/>
      <c r="C22" s="33"/>
      <c r="D22" s="33"/>
      <c r="E22" s="33"/>
      <c r="F22" s="33"/>
      <c r="G22" s="33"/>
      <c r="H22" s="33"/>
      <c r="I22" s="33"/>
    </row>
    <row r="23" spans="1:9">
      <c r="A23" s="33"/>
      <c r="B23" s="33"/>
      <c r="C23" s="33"/>
      <c r="D23" s="33"/>
      <c r="E23" s="33"/>
      <c r="F23" s="33"/>
      <c r="G23" s="33"/>
      <c r="H23" s="33"/>
      <c r="I23" s="33"/>
    </row>
    <row r="24" spans="1:9">
      <c r="A24" s="33"/>
      <c r="B24" s="33"/>
      <c r="C24" s="33"/>
      <c r="D24" s="33"/>
      <c r="E24" s="33"/>
      <c r="F24" s="33"/>
      <c r="G24" s="33"/>
      <c r="H24" s="33"/>
      <c r="I24" s="33"/>
    </row>
    <row r="25" spans="1:9">
      <c r="A25" s="33"/>
      <c r="B25" s="33"/>
      <c r="C25" s="33"/>
      <c r="D25" s="33"/>
      <c r="E25" s="33"/>
      <c r="F25" s="33"/>
      <c r="G25" s="33"/>
      <c r="H25" s="33"/>
      <c r="I25" s="33"/>
    </row>
    <row r="26" spans="1:9">
      <c r="A26" s="33"/>
      <c r="B26" s="33"/>
      <c r="C26" s="33"/>
      <c r="D26" s="33"/>
      <c r="E26" s="33"/>
      <c r="F26" s="33"/>
      <c r="G26" s="33"/>
      <c r="H26" s="33"/>
      <c r="I26" s="33"/>
    </row>
    <row r="27" spans="1:9">
      <c r="A27" s="33"/>
      <c r="B27" s="33"/>
      <c r="C27" s="33"/>
      <c r="D27" s="33"/>
      <c r="E27" s="33"/>
      <c r="F27" s="33"/>
      <c r="G27" s="33"/>
      <c r="H27" s="33"/>
      <c r="I27" s="33"/>
    </row>
    <row r="28" spans="1:9">
      <c r="A28" s="33"/>
      <c r="B28" s="33"/>
      <c r="C28" s="33"/>
      <c r="D28" s="33"/>
      <c r="E28" s="33"/>
      <c r="F28" s="33"/>
      <c r="G28" s="33"/>
      <c r="H28" s="33"/>
      <c r="I28" s="33"/>
    </row>
    <row r="29" spans="1:9">
      <c r="A29" s="33"/>
      <c r="B29" s="33"/>
      <c r="C29" s="33"/>
      <c r="D29" s="33"/>
      <c r="E29" s="33"/>
      <c r="F29" s="33"/>
      <c r="G29" s="33"/>
      <c r="H29" s="33"/>
      <c r="I29" s="33"/>
    </row>
    <row r="30" spans="1:9">
      <c r="A30" s="33"/>
      <c r="B30" s="33"/>
      <c r="C30" s="33"/>
      <c r="D30" s="33"/>
      <c r="E30" s="33"/>
      <c r="F30" s="33"/>
      <c r="G30" s="33"/>
      <c r="H30" s="33"/>
      <c r="I30" s="33"/>
    </row>
    <row r="31" spans="1:9">
      <c r="A31" s="33"/>
      <c r="B31" s="33"/>
      <c r="C31" s="33"/>
      <c r="D31" s="33"/>
      <c r="E31" s="33"/>
      <c r="F31" s="33"/>
      <c r="G31" s="33"/>
      <c r="H31" s="33"/>
      <c r="I31" s="33"/>
    </row>
    <row r="32" spans="1:9">
      <c r="A32" s="33"/>
      <c r="B32" s="33"/>
      <c r="C32" s="33"/>
      <c r="D32" s="33"/>
      <c r="E32" s="33"/>
      <c r="F32" s="33"/>
      <c r="G32" s="33"/>
      <c r="H32" s="33"/>
      <c r="I32" s="33"/>
    </row>
    <row r="33" spans="1:9">
      <c r="A33" s="33"/>
      <c r="B33" s="33"/>
      <c r="C33" s="33"/>
      <c r="D33" s="33"/>
      <c r="E33" s="33"/>
      <c r="F33" s="33"/>
      <c r="G33" s="33"/>
      <c r="H33" s="33"/>
      <c r="I33" s="33"/>
    </row>
    <row r="34" spans="1:9">
      <c r="A34" s="33"/>
      <c r="B34" s="33"/>
      <c r="C34" s="33"/>
      <c r="D34" s="33"/>
      <c r="E34" s="33"/>
      <c r="F34" s="33"/>
      <c r="G34" s="33"/>
      <c r="H34" s="33"/>
      <c r="I34" s="33"/>
    </row>
    <row r="35" spans="1:9">
      <c r="A35" s="33"/>
      <c r="B35" s="33"/>
      <c r="C35" s="33"/>
      <c r="D35" s="33"/>
      <c r="E35" s="33"/>
      <c r="F35" s="33"/>
      <c r="G35" s="33"/>
      <c r="H35" s="33"/>
      <c r="I35" s="33"/>
    </row>
    <row r="36" spans="1:9">
      <c r="A36" s="33"/>
      <c r="B36" s="33"/>
      <c r="C36" s="33"/>
      <c r="D36" s="33"/>
      <c r="E36" s="33"/>
      <c r="F36" s="33"/>
      <c r="G36" s="33"/>
      <c r="H36" s="33"/>
      <c r="I36" s="33"/>
    </row>
    <row r="37" spans="1:9">
      <c r="A37" s="33"/>
      <c r="B37" s="33"/>
      <c r="C37" s="33"/>
      <c r="D37" s="33"/>
      <c r="E37" s="33"/>
      <c r="F37" s="33"/>
      <c r="G37" s="33"/>
      <c r="H37" s="33"/>
      <c r="I37" s="33"/>
    </row>
    <row r="38" spans="1:9">
      <c r="A38" s="33"/>
      <c r="B38" s="33"/>
      <c r="C38" s="33"/>
      <c r="D38" s="33"/>
      <c r="E38" s="33"/>
      <c r="F38" s="33"/>
      <c r="G38" s="33"/>
      <c r="H38" s="33"/>
      <c r="I38" s="33"/>
    </row>
    <row r="39" spans="1:9">
      <c r="A39" s="33"/>
      <c r="B39" s="33"/>
      <c r="C39" s="33"/>
      <c r="D39" s="33"/>
      <c r="E39" s="33"/>
      <c r="F39" s="33"/>
      <c r="G39" s="33"/>
      <c r="H39" s="33"/>
      <c r="I39" s="33"/>
    </row>
    <row r="40" spans="1:9">
      <c r="A40" s="33"/>
      <c r="B40" s="33"/>
      <c r="C40" s="33"/>
      <c r="D40" s="33"/>
      <c r="E40" s="33"/>
      <c r="F40" s="33"/>
      <c r="G40" s="33"/>
      <c r="H40" s="33"/>
      <c r="I40" s="33"/>
    </row>
    <row r="41" spans="1:9">
      <c r="A41" s="33"/>
      <c r="B41" s="33"/>
      <c r="C41" s="33"/>
      <c r="D41" s="33"/>
      <c r="E41" s="33"/>
      <c r="F41" s="33"/>
      <c r="G41" s="33"/>
      <c r="H41" s="33"/>
      <c r="I41" s="33"/>
    </row>
    <row r="42" spans="1:9">
      <c r="A42" s="33"/>
      <c r="B42" s="33"/>
      <c r="C42" s="33"/>
      <c r="D42" s="33"/>
      <c r="E42" s="33"/>
      <c r="F42" s="33"/>
      <c r="G42" s="33"/>
      <c r="H42" s="33"/>
      <c r="I42" s="33"/>
    </row>
    <row r="43" spans="1:9">
      <c r="A43" s="33"/>
      <c r="B43" s="33"/>
      <c r="C43" s="33"/>
      <c r="D43" s="33"/>
      <c r="E43" s="33"/>
      <c r="F43" s="33"/>
      <c r="G43" s="33"/>
      <c r="H43" s="33"/>
      <c r="I43" s="33"/>
    </row>
    <row r="44" spans="1:9">
      <c r="A44" s="33"/>
      <c r="B44" s="33"/>
      <c r="C44" s="33"/>
      <c r="D44" s="33"/>
      <c r="E44" s="33"/>
      <c r="F44" s="33"/>
      <c r="G44" s="33"/>
      <c r="H44" s="33"/>
      <c r="I44" s="33"/>
    </row>
    <row r="45" spans="1:9">
      <c r="A45" s="33"/>
      <c r="B45" s="33"/>
      <c r="C45" s="33"/>
      <c r="D45" s="33"/>
      <c r="E45" s="33"/>
      <c r="F45" s="33"/>
      <c r="G45" s="33"/>
      <c r="H45" s="33"/>
      <c r="I45" s="33"/>
    </row>
    <row r="46" spans="1:9">
      <c r="A46" s="33"/>
      <c r="B46" s="33"/>
      <c r="C46" s="33"/>
      <c r="D46" s="33"/>
      <c r="E46" s="33"/>
      <c r="F46" s="33"/>
      <c r="G46" s="33"/>
      <c r="H46" s="33"/>
      <c r="I46" s="33"/>
    </row>
    <row r="47" spans="1:9">
      <c r="A47" s="33"/>
      <c r="B47" s="33"/>
      <c r="C47" s="33"/>
      <c r="D47" s="33"/>
      <c r="E47" s="33"/>
      <c r="F47" s="33"/>
      <c r="G47" s="33"/>
      <c r="H47" s="33"/>
      <c r="I47" s="33"/>
    </row>
    <row r="48" spans="1:9">
      <c r="A48" s="33"/>
      <c r="B48" s="33"/>
      <c r="C48" s="33"/>
      <c r="D48" s="33"/>
      <c r="E48" s="33"/>
      <c r="F48" s="33"/>
      <c r="G48" s="33"/>
      <c r="H48" s="33"/>
      <c r="I48" s="33"/>
    </row>
    <row r="49" spans="1:9">
      <c r="A49" s="33"/>
      <c r="B49" s="33"/>
      <c r="C49" s="33"/>
      <c r="D49" s="33"/>
      <c r="E49" s="33"/>
      <c r="F49" s="33"/>
      <c r="G49" s="33"/>
      <c r="H49" s="33"/>
      <c r="I49" s="33"/>
    </row>
    <row r="50" spans="1:9">
      <c r="A50" s="33"/>
      <c r="B50" s="33"/>
      <c r="C50" s="33"/>
      <c r="D50" s="33"/>
      <c r="E50" s="33"/>
      <c r="F50" s="33"/>
      <c r="G50" s="33"/>
      <c r="H50" s="33"/>
      <c r="I50" s="33"/>
    </row>
    <row r="51" spans="1:9">
      <c r="A51" s="33"/>
      <c r="B51" s="33"/>
      <c r="C51" s="33"/>
      <c r="D51" s="33"/>
      <c r="E51" s="33"/>
      <c r="F51" s="33"/>
      <c r="G51" s="33"/>
      <c r="H51" s="33"/>
      <c r="I51" s="33"/>
    </row>
    <row r="52" spans="1:9">
      <c r="A52" s="33"/>
      <c r="B52" s="33"/>
      <c r="C52" s="33"/>
      <c r="D52" s="33"/>
      <c r="E52" s="33"/>
      <c r="F52" s="33"/>
      <c r="G52" s="33"/>
      <c r="H52" s="33"/>
      <c r="I52" s="33"/>
    </row>
    <row r="53" spans="1:9">
      <c r="A53" s="33"/>
      <c r="B53" s="33"/>
      <c r="C53" s="33"/>
      <c r="D53" s="33"/>
      <c r="E53" s="33"/>
      <c r="F53" s="33"/>
      <c r="G53" s="33"/>
      <c r="H53" s="33"/>
      <c r="I53" s="33"/>
    </row>
    <row r="54" spans="1:9">
      <c r="A54" s="33"/>
      <c r="B54" s="33"/>
      <c r="C54" s="33"/>
      <c r="D54" s="33"/>
      <c r="E54" s="33"/>
      <c r="F54" s="33"/>
      <c r="G54" s="33"/>
      <c r="H54" s="33"/>
      <c r="I54" s="33"/>
    </row>
    <row r="55" spans="1:9">
      <c r="A55" s="33"/>
      <c r="B55" s="33"/>
      <c r="C55" s="33"/>
      <c r="D55" s="33"/>
      <c r="E55" s="33"/>
      <c r="F55" s="33"/>
      <c r="G55" s="33"/>
      <c r="H55" s="33"/>
      <c r="I55" s="33"/>
    </row>
    <row r="56" spans="1:9">
      <c r="A56" s="33"/>
      <c r="B56" s="33"/>
      <c r="C56" s="33"/>
      <c r="D56" s="33"/>
      <c r="E56" s="33"/>
      <c r="F56" s="33"/>
      <c r="G56" s="33"/>
      <c r="H56" s="33"/>
      <c r="I56" s="33"/>
    </row>
    <row r="57" spans="1:9">
      <c r="A57" s="33"/>
      <c r="B57" s="33"/>
      <c r="C57" s="33"/>
      <c r="D57" s="33"/>
      <c r="E57" s="33"/>
      <c r="F57" s="33"/>
      <c r="G57" s="33"/>
      <c r="H57" s="33"/>
      <c r="I57" s="33"/>
    </row>
    <row r="58" spans="1:9">
      <c r="A58" s="33"/>
      <c r="B58" s="33"/>
      <c r="C58" s="33"/>
      <c r="D58" s="33"/>
      <c r="E58" s="33"/>
      <c r="F58" s="33"/>
      <c r="G58" s="33"/>
      <c r="H58" s="33"/>
      <c r="I58" s="33"/>
    </row>
    <row r="59" spans="1:9">
      <c r="A59" s="33"/>
      <c r="B59" s="33"/>
      <c r="C59" s="33"/>
      <c r="D59" s="33"/>
      <c r="E59" s="33"/>
      <c r="F59" s="33"/>
      <c r="G59" s="33"/>
      <c r="H59" s="33"/>
      <c r="I59" s="33"/>
    </row>
    <row r="60" spans="1:9">
      <c r="A60" s="33"/>
      <c r="B60" s="33"/>
      <c r="C60" s="33"/>
      <c r="D60" s="33"/>
      <c r="E60" s="33"/>
      <c r="F60" s="33"/>
      <c r="G60" s="33"/>
      <c r="H60" s="33"/>
      <c r="I60" s="33"/>
    </row>
  </sheetData>
  <mergeCells count="4">
    <mergeCell ref="A1:I1"/>
    <mergeCell ref="A2:I2"/>
    <mergeCell ref="A4:I4"/>
    <mergeCell ref="A12:I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/>
  <cols>
    <col min="1" max="1" width="30" customWidth="1"/>
    <col min="2" max="2" width="65" customWidth="1"/>
    <col min="3" max="9" width="16" customWidth="1"/>
  </cols>
  <sheetData>
    <row r="1" spans="1:9" ht="21.5" customHeight="1">
      <c r="A1" s="66" t="s">
        <v>488</v>
      </c>
      <c r="B1" s="66"/>
      <c r="C1" s="66"/>
      <c r="D1" s="66"/>
      <c r="E1" s="66"/>
      <c r="F1" s="66"/>
      <c r="G1" s="66"/>
      <c r="H1" s="66"/>
      <c r="I1" s="66"/>
    </row>
    <row r="2" spans="1:9">
      <c r="A2" s="67" t="s">
        <v>489</v>
      </c>
      <c r="B2" s="67"/>
      <c r="C2" s="67"/>
      <c r="D2" s="67"/>
      <c r="E2" s="67"/>
      <c r="F2" s="67"/>
      <c r="G2" s="67"/>
      <c r="H2" s="67"/>
      <c r="I2" s="67"/>
    </row>
    <row r="3" spans="1:9">
      <c r="A3" s="33"/>
      <c r="B3" s="33"/>
      <c r="C3" s="33"/>
      <c r="D3" s="33"/>
      <c r="E3" s="33"/>
      <c r="F3" s="33"/>
      <c r="G3" s="33"/>
      <c r="H3" s="33"/>
      <c r="I3" s="33"/>
    </row>
    <row r="4" spans="1:9">
      <c r="A4" s="68" t="s">
        <v>490</v>
      </c>
      <c r="B4" s="68"/>
      <c r="C4" s="68"/>
      <c r="D4" s="68"/>
      <c r="E4" s="68"/>
      <c r="F4" s="68"/>
      <c r="G4" s="68"/>
      <c r="H4" s="68"/>
      <c r="I4" s="68"/>
    </row>
    <row r="5" spans="1:9" ht="28">
      <c r="A5" s="36" t="s">
        <v>491</v>
      </c>
      <c r="B5" s="33" t="s">
        <v>492</v>
      </c>
      <c r="C5" s="33"/>
      <c r="D5" s="33"/>
      <c r="E5" s="33"/>
      <c r="F5" s="33"/>
      <c r="G5" s="33"/>
      <c r="H5" s="33"/>
      <c r="I5" s="33"/>
    </row>
    <row r="6" spans="1:9" ht="28">
      <c r="A6" s="36" t="s">
        <v>493</v>
      </c>
      <c r="B6" s="33" t="s">
        <v>494</v>
      </c>
      <c r="C6" s="33"/>
      <c r="D6" s="33"/>
      <c r="E6" s="33"/>
      <c r="F6" s="33"/>
      <c r="G6" s="33"/>
      <c r="H6" s="33"/>
      <c r="I6" s="33"/>
    </row>
    <row r="7" spans="1:9" ht="28">
      <c r="A7" s="36" t="s">
        <v>495</v>
      </c>
      <c r="B7" s="33" t="s">
        <v>496</v>
      </c>
      <c r="C7" s="33"/>
      <c r="D7" s="33"/>
      <c r="E7" s="33"/>
      <c r="F7" s="33"/>
      <c r="G7" s="33"/>
      <c r="H7" s="33"/>
      <c r="I7" s="33"/>
    </row>
    <row r="8" spans="1:9" ht="28">
      <c r="A8" s="36" t="s">
        <v>497</v>
      </c>
      <c r="B8" s="33" t="s">
        <v>498</v>
      </c>
      <c r="C8" s="33"/>
      <c r="D8" s="33"/>
      <c r="E8" s="33"/>
      <c r="F8" s="33"/>
      <c r="G8" s="33"/>
      <c r="H8" s="33"/>
      <c r="I8" s="33"/>
    </row>
    <row r="9" spans="1:9">
      <c r="A9" s="36" t="s">
        <v>499</v>
      </c>
      <c r="B9" s="33" t="s">
        <v>500</v>
      </c>
      <c r="C9" s="33"/>
      <c r="D9" s="33"/>
      <c r="E9" s="33"/>
      <c r="F9" s="33"/>
      <c r="G9" s="33"/>
      <c r="H9" s="33"/>
      <c r="I9" s="33"/>
    </row>
    <row r="10" spans="1:9" ht="28">
      <c r="A10" s="36" t="s">
        <v>501</v>
      </c>
      <c r="B10" s="33" t="s">
        <v>502</v>
      </c>
      <c r="C10" s="33"/>
      <c r="D10" s="33"/>
      <c r="E10" s="33"/>
      <c r="F10" s="33"/>
      <c r="G10" s="33"/>
      <c r="H10" s="33"/>
      <c r="I10" s="33"/>
    </row>
    <row r="11" spans="1:9">
      <c r="A11" s="36" t="s">
        <v>503</v>
      </c>
      <c r="B11" s="33" t="s">
        <v>504</v>
      </c>
      <c r="C11" s="33"/>
      <c r="D11" s="33"/>
      <c r="E11" s="33"/>
      <c r="F11" s="33"/>
      <c r="G11" s="33"/>
      <c r="H11" s="33"/>
      <c r="I11" s="33"/>
    </row>
    <row r="12" spans="1:9" ht="28">
      <c r="A12" s="36" t="s">
        <v>505</v>
      </c>
      <c r="B12" s="33" t="s">
        <v>506</v>
      </c>
      <c r="C12" s="33"/>
      <c r="D12" s="33"/>
      <c r="E12" s="33"/>
      <c r="F12" s="33"/>
      <c r="G12" s="33"/>
      <c r="H12" s="33"/>
      <c r="I12" s="33"/>
    </row>
    <row r="13" spans="1:9">
      <c r="A13" s="33"/>
      <c r="B13" s="33"/>
      <c r="C13" s="33"/>
      <c r="D13" s="33"/>
      <c r="E13" s="33"/>
      <c r="F13" s="33"/>
      <c r="G13" s="33"/>
      <c r="H13" s="33"/>
      <c r="I13" s="33"/>
    </row>
    <row r="14" spans="1:9">
      <c r="A14" s="68" t="s">
        <v>507</v>
      </c>
      <c r="B14" s="68"/>
      <c r="C14" s="68"/>
      <c r="D14" s="68"/>
      <c r="E14" s="68"/>
      <c r="F14" s="68"/>
      <c r="G14" s="68"/>
      <c r="H14" s="68"/>
      <c r="I14" s="68"/>
    </row>
    <row r="15" spans="1:9">
      <c r="A15" s="37" t="s">
        <v>508</v>
      </c>
      <c r="B15" s="37" t="s">
        <v>509</v>
      </c>
      <c r="C15" s="37" t="s">
        <v>499</v>
      </c>
      <c r="D15" s="37" t="s">
        <v>331</v>
      </c>
      <c r="E15" s="37" t="s">
        <v>510</v>
      </c>
      <c r="F15" s="33"/>
      <c r="G15" s="33"/>
      <c r="H15" s="33"/>
      <c r="I15" s="33"/>
    </row>
    <row r="16" spans="1:9" ht="28">
      <c r="A16" s="33" t="s">
        <v>511</v>
      </c>
      <c r="B16" s="33" t="s">
        <v>512</v>
      </c>
      <c r="C16" s="33" t="s">
        <v>513</v>
      </c>
      <c r="D16" s="33" t="s">
        <v>514</v>
      </c>
      <c r="E16" s="33" t="s">
        <v>515</v>
      </c>
      <c r="F16" s="33"/>
      <c r="G16" s="33"/>
      <c r="H16" s="33"/>
      <c r="I16" s="33"/>
    </row>
    <row r="17" spans="1:9" ht="28">
      <c r="A17" s="33" t="s">
        <v>516</v>
      </c>
      <c r="B17" s="33" t="s">
        <v>517</v>
      </c>
      <c r="C17" s="33" t="s">
        <v>513</v>
      </c>
      <c r="D17" s="33" t="s">
        <v>514</v>
      </c>
      <c r="E17" s="33" t="s">
        <v>518</v>
      </c>
      <c r="F17" s="33"/>
      <c r="G17" s="33"/>
      <c r="H17" s="33"/>
      <c r="I17" s="33"/>
    </row>
    <row r="18" spans="1:9">
      <c r="A18" s="33" t="s">
        <v>519</v>
      </c>
      <c r="B18" s="33" t="s">
        <v>520</v>
      </c>
      <c r="C18" s="33" t="s">
        <v>513</v>
      </c>
      <c r="D18" s="33" t="s">
        <v>514</v>
      </c>
      <c r="E18" s="33" t="s">
        <v>521</v>
      </c>
      <c r="F18" s="33"/>
      <c r="G18" s="33"/>
      <c r="H18" s="33"/>
      <c r="I18" s="33"/>
    </row>
    <row r="19" spans="1:9" ht="28">
      <c r="A19" s="33" t="s">
        <v>522</v>
      </c>
      <c r="B19" s="33" t="s">
        <v>517</v>
      </c>
      <c r="C19" s="33" t="s">
        <v>523</v>
      </c>
      <c r="D19" s="33" t="s">
        <v>514</v>
      </c>
      <c r="E19" s="33" t="s">
        <v>524</v>
      </c>
      <c r="F19" s="33"/>
      <c r="G19" s="33"/>
      <c r="H19" s="33"/>
      <c r="I19" s="33"/>
    </row>
    <row r="20" spans="1:9" ht="28">
      <c r="A20" s="33" t="s">
        <v>525</v>
      </c>
      <c r="B20" s="33" t="s">
        <v>526</v>
      </c>
      <c r="C20" s="33" t="s">
        <v>513</v>
      </c>
      <c r="D20" s="33" t="s">
        <v>514</v>
      </c>
      <c r="E20" s="33" t="s">
        <v>527</v>
      </c>
      <c r="F20" s="33"/>
      <c r="G20" s="33"/>
      <c r="H20" s="33"/>
      <c r="I20" s="33"/>
    </row>
    <row r="21" spans="1:9" ht="42">
      <c r="A21" s="33" t="s">
        <v>528</v>
      </c>
      <c r="B21" s="33" t="s">
        <v>529</v>
      </c>
      <c r="C21" s="33" t="s">
        <v>513</v>
      </c>
      <c r="D21" s="33" t="s">
        <v>514</v>
      </c>
      <c r="E21" s="33" t="s">
        <v>530</v>
      </c>
      <c r="F21" s="33"/>
      <c r="G21" s="33"/>
      <c r="H21" s="33"/>
      <c r="I21" s="33"/>
    </row>
    <row r="22" spans="1:9" ht="28">
      <c r="A22" s="33" t="s">
        <v>531</v>
      </c>
      <c r="B22" s="33" t="s">
        <v>532</v>
      </c>
      <c r="C22" s="33" t="s">
        <v>513</v>
      </c>
      <c r="D22" s="33" t="s">
        <v>514</v>
      </c>
      <c r="E22" s="33" t="s">
        <v>533</v>
      </c>
      <c r="F22" s="33"/>
      <c r="G22" s="33"/>
      <c r="H22" s="33"/>
      <c r="I22" s="33"/>
    </row>
    <row r="23" spans="1:9">
      <c r="A23" s="33"/>
      <c r="B23" s="33"/>
      <c r="C23" s="33"/>
      <c r="D23" s="33"/>
      <c r="E23" s="33"/>
      <c r="F23" s="33"/>
      <c r="G23" s="33"/>
      <c r="H23" s="33"/>
      <c r="I23" s="33"/>
    </row>
    <row r="24" spans="1:9">
      <c r="A24" s="33"/>
      <c r="B24" s="33"/>
      <c r="C24" s="33"/>
      <c r="D24" s="33"/>
      <c r="E24" s="33"/>
      <c r="F24" s="33"/>
      <c r="G24" s="33"/>
      <c r="H24" s="33"/>
      <c r="I24" s="33"/>
    </row>
    <row r="25" spans="1:9">
      <c r="A25" s="33"/>
      <c r="B25" s="33"/>
      <c r="C25" s="33"/>
      <c r="D25" s="33"/>
      <c r="E25" s="33"/>
      <c r="F25" s="33"/>
      <c r="G25" s="33"/>
      <c r="H25" s="33"/>
      <c r="I25" s="33"/>
    </row>
    <row r="26" spans="1:9">
      <c r="A26" s="33"/>
      <c r="B26" s="33"/>
      <c r="C26" s="33"/>
      <c r="D26" s="33"/>
      <c r="E26" s="33"/>
      <c r="F26" s="33"/>
      <c r="G26" s="33"/>
      <c r="H26" s="33"/>
      <c r="I26" s="33"/>
    </row>
    <row r="27" spans="1:9">
      <c r="A27" s="33"/>
      <c r="B27" s="33"/>
      <c r="C27" s="33"/>
      <c r="D27" s="33"/>
      <c r="E27" s="33"/>
      <c r="F27" s="33"/>
      <c r="G27" s="33"/>
      <c r="H27" s="33"/>
      <c r="I27" s="33"/>
    </row>
    <row r="28" spans="1:9">
      <c r="A28" s="33"/>
      <c r="B28" s="33"/>
      <c r="C28" s="33"/>
      <c r="D28" s="33"/>
      <c r="E28" s="33"/>
      <c r="F28" s="33"/>
      <c r="G28" s="33"/>
      <c r="H28" s="33"/>
      <c r="I28" s="33"/>
    </row>
    <row r="29" spans="1:9">
      <c r="A29" s="33"/>
      <c r="B29" s="33"/>
      <c r="C29" s="33"/>
      <c r="D29" s="33"/>
      <c r="E29" s="33"/>
      <c r="F29" s="33"/>
      <c r="G29" s="33"/>
      <c r="H29" s="33"/>
      <c r="I29" s="33"/>
    </row>
    <row r="30" spans="1:9">
      <c r="A30" s="33"/>
      <c r="B30" s="33"/>
      <c r="C30" s="33"/>
      <c r="D30" s="33"/>
      <c r="E30" s="33"/>
      <c r="F30" s="33"/>
      <c r="G30" s="33"/>
      <c r="H30" s="33"/>
      <c r="I30" s="33"/>
    </row>
    <row r="31" spans="1:9">
      <c r="A31" s="33"/>
      <c r="B31" s="33"/>
      <c r="C31" s="33"/>
      <c r="D31" s="33"/>
      <c r="E31" s="33"/>
      <c r="F31" s="33"/>
      <c r="G31" s="33"/>
      <c r="H31" s="33"/>
      <c r="I31" s="33"/>
    </row>
    <row r="32" spans="1:9">
      <c r="A32" s="33"/>
      <c r="B32" s="33"/>
      <c r="C32" s="33"/>
      <c r="D32" s="33"/>
      <c r="E32" s="33"/>
      <c r="F32" s="33"/>
      <c r="G32" s="33"/>
      <c r="H32" s="33"/>
      <c r="I32" s="33"/>
    </row>
    <row r="33" spans="1:9">
      <c r="A33" s="33"/>
      <c r="B33" s="33"/>
      <c r="C33" s="33"/>
      <c r="D33" s="33"/>
      <c r="E33" s="33"/>
      <c r="F33" s="33"/>
      <c r="G33" s="33"/>
      <c r="H33" s="33"/>
      <c r="I33" s="33"/>
    </row>
    <row r="34" spans="1:9">
      <c r="A34" s="33"/>
      <c r="B34" s="33"/>
      <c r="C34" s="33"/>
      <c r="D34" s="33"/>
      <c r="E34" s="33"/>
      <c r="F34" s="33"/>
      <c r="G34" s="33"/>
      <c r="H34" s="33"/>
      <c r="I34" s="33"/>
    </row>
    <row r="35" spans="1:9">
      <c r="A35" s="33"/>
      <c r="B35" s="33"/>
      <c r="C35" s="33"/>
      <c r="D35" s="33"/>
      <c r="E35" s="33"/>
      <c r="F35" s="33"/>
      <c r="G35" s="33"/>
      <c r="H35" s="33"/>
      <c r="I35" s="33"/>
    </row>
    <row r="36" spans="1:9">
      <c r="A36" s="33"/>
      <c r="B36" s="33"/>
      <c r="C36" s="33"/>
      <c r="D36" s="33"/>
      <c r="E36" s="33"/>
      <c r="F36" s="33"/>
      <c r="G36" s="33"/>
      <c r="H36" s="33"/>
      <c r="I36" s="33"/>
    </row>
    <row r="37" spans="1:9">
      <c r="A37" s="33"/>
      <c r="B37" s="33"/>
      <c r="C37" s="33"/>
      <c r="D37" s="33"/>
      <c r="E37" s="33"/>
      <c r="F37" s="33"/>
      <c r="G37" s="33"/>
      <c r="H37" s="33"/>
      <c r="I37" s="33"/>
    </row>
    <row r="38" spans="1:9">
      <c r="A38" s="33"/>
      <c r="B38" s="33"/>
      <c r="C38" s="33"/>
      <c r="D38" s="33"/>
      <c r="E38" s="33"/>
      <c r="F38" s="33"/>
      <c r="G38" s="33"/>
      <c r="H38" s="33"/>
      <c r="I38" s="33"/>
    </row>
    <row r="39" spans="1:9">
      <c r="A39" s="33"/>
      <c r="B39" s="33"/>
      <c r="C39" s="33"/>
      <c r="D39" s="33"/>
      <c r="E39" s="33"/>
      <c r="F39" s="33"/>
      <c r="G39" s="33"/>
      <c r="H39" s="33"/>
      <c r="I39" s="33"/>
    </row>
    <row r="40" spans="1:9">
      <c r="A40" s="33"/>
      <c r="B40" s="33"/>
      <c r="C40" s="33"/>
      <c r="D40" s="33"/>
      <c r="E40" s="33"/>
      <c r="F40" s="33"/>
      <c r="G40" s="33"/>
      <c r="H40" s="33"/>
      <c r="I40" s="33"/>
    </row>
    <row r="41" spans="1:9">
      <c r="A41" s="33"/>
      <c r="B41" s="33"/>
      <c r="C41" s="33"/>
      <c r="D41" s="33"/>
      <c r="E41" s="33"/>
      <c r="F41" s="33"/>
      <c r="G41" s="33"/>
      <c r="H41" s="33"/>
      <c r="I41" s="33"/>
    </row>
    <row r="42" spans="1:9">
      <c r="A42" s="33"/>
      <c r="B42" s="33"/>
      <c r="C42" s="33"/>
      <c r="D42" s="33"/>
      <c r="E42" s="33"/>
      <c r="F42" s="33"/>
      <c r="G42" s="33"/>
      <c r="H42" s="33"/>
      <c r="I42" s="33"/>
    </row>
    <row r="43" spans="1:9">
      <c r="A43" s="33"/>
      <c r="B43" s="33"/>
      <c r="C43" s="33"/>
      <c r="D43" s="33"/>
      <c r="E43" s="33"/>
      <c r="F43" s="33"/>
      <c r="G43" s="33"/>
      <c r="H43" s="33"/>
      <c r="I43" s="33"/>
    </row>
    <row r="44" spans="1:9">
      <c r="A44" s="33"/>
      <c r="B44" s="33"/>
      <c r="C44" s="33"/>
      <c r="D44" s="33"/>
      <c r="E44" s="33"/>
      <c r="F44" s="33"/>
      <c r="G44" s="33"/>
      <c r="H44" s="33"/>
      <c r="I44" s="33"/>
    </row>
    <row r="45" spans="1:9">
      <c r="A45" s="33"/>
      <c r="B45" s="33"/>
      <c r="C45" s="33"/>
      <c r="D45" s="33"/>
      <c r="E45" s="33"/>
      <c r="F45" s="33"/>
      <c r="G45" s="33"/>
      <c r="H45" s="33"/>
      <c r="I45" s="33"/>
    </row>
    <row r="46" spans="1:9">
      <c r="A46" s="33"/>
      <c r="B46" s="33"/>
      <c r="C46" s="33"/>
      <c r="D46" s="33"/>
      <c r="E46" s="33"/>
      <c r="F46" s="33"/>
      <c r="G46" s="33"/>
      <c r="H46" s="33"/>
      <c r="I46" s="33"/>
    </row>
    <row r="47" spans="1:9">
      <c r="A47" s="33"/>
      <c r="B47" s="33"/>
      <c r="C47" s="33"/>
      <c r="D47" s="33"/>
      <c r="E47" s="33"/>
      <c r="F47" s="33"/>
      <c r="G47" s="33"/>
      <c r="H47" s="33"/>
      <c r="I47" s="33"/>
    </row>
    <row r="48" spans="1:9">
      <c r="A48" s="33"/>
      <c r="B48" s="33"/>
      <c r="C48" s="33"/>
      <c r="D48" s="33"/>
      <c r="E48" s="33"/>
      <c r="F48" s="33"/>
      <c r="G48" s="33"/>
      <c r="H48" s="33"/>
      <c r="I48" s="33"/>
    </row>
    <row r="49" spans="1:9">
      <c r="A49" s="33"/>
      <c r="B49" s="33"/>
      <c r="C49" s="33"/>
      <c r="D49" s="33"/>
      <c r="E49" s="33"/>
      <c r="F49" s="33"/>
      <c r="G49" s="33"/>
      <c r="H49" s="33"/>
      <c r="I49" s="33"/>
    </row>
    <row r="50" spans="1:9">
      <c r="A50" s="33"/>
      <c r="B50" s="33"/>
      <c r="C50" s="33"/>
      <c r="D50" s="33"/>
      <c r="E50" s="33"/>
      <c r="F50" s="33"/>
      <c r="G50" s="33"/>
      <c r="H50" s="33"/>
      <c r="I50" s="33"/>
    </row>
    <row r="51" spans="1:9">
      <c r="A51" s="33"/>
      <c r="B51" s="33"/>
      <c r="C51" s="33"/>
      <c r="D51" s="33"/>
      <c r="E51" s="33"/>
      <c r="F51" s="33"/>
      <c r="G51" s="33"/>
      <c r="H51" s="33"/>
      <c r="I51" s="33"/>
    </row>
    <row r="52" spans="1:9">
      <c r="A52" s="33"/>
      <c r="B52" s="33"/>
      <c r="C52" s="33"/>
      <c r="D52" s="33"/>
      <c r="E52" s="33"/>
      <c r="F52" s="33"/>
      <c r="G52" s="33"/>
      <c r="H52" s="33"/>
      <c r="I52" s="33"/>
    </row>
    <row r="53" spans="1:9">
      <c r="A53" s="33"/>
      <c r="B53" s="33"/>
      <c r="C53" s="33"/>
      <c r="D53" s="33"/>
      <c r="E53" s="33"/>
      <c r="F53" s="33"/>
      <c r="G53" s="33"/>
      <c r="H53" s="33"/>
      <c r="I53" s="33"/>
    </row>
    <row r="54" spans="1:9">
      <c r="A54" s="33"/>
      <c r="B54" s="33"/>
      <c r="C54" s="33"/>
      <c r="D54" s="33"/>
      <c r="E54" s="33"/>
      <c r="F54" s="33"/>
      <c r="G54" s="33"/>
      <c r="H54" s="33"/>
      <c r="I54" s="33"/>
    </row>
    <row r="55" spans="1:9">
      <c r="A55" s="33"/>
      <c r="B55" s="33"/>
      <c r="C55" s="33"/>
      <c r="D55" s="33"/>
      <c r="E55" s="33"/>
      <c r="F55" s="33"/>
      <c r="G55" s="33"/>
      <c r="H55" s="33"/>
      <c r="I55" s="33"/>
    </row>
    <row r="56" spans="1:9">
      <c r="A56" s="33"/>
      <c r="B56" s="33"/>
      <c r="C56" s="33"/>
      <c r="D56" s="33"/>
      <c r="E56" s="33"/>
      <c r="F56" s="33"/>
      <c r="G56" s="33"/>
      <c r="H56" s="33"/>
      <c r="I56" s="33"/>
    </row>
    <row r="57" spans="1:9">
      <c r="A57" s="33"/>
      <c r="B57" s="33"/>
      <c r="C57" s="33"/>
      <c r="D57" s="33"/>
      <c r="E57" s="33"/>
      <c r="F57" s="33"/>
      <c r="G57" s="33"/>
      <c r="H57" s="33"/>
      <c r="I57" s="33"/>
    </row>
    <row r="58" spans="1:9">
      <c r="A58" s="33"/>
      <c r="B58" s="33"/>
      <c r="C58" s="33"/>
      <c r="D58" s="33"/>
      <c r="E58" s="33"/>
      <c r="F58" s="33"/>
      <c r="G58" s="33"/>
      <c r="H58" s="33"/>
      <c r="I58" s="33"/>
    </row>
    <row r="59" spans="1:9">
      <c r="A59" s="33"/>
      <c r="B59" s="33"/>
      <c r="C59" s="33"/>
      <c r="D59" s="33"/>
      <c r="E59" s="33"/>
      <c r="F59" s="33"/>
      <c r="G59" s="33"/>
      <c r="H59" s="33"/>
      <c r="I59" s="33"/>
    </row>
    <row r="60" spans="1:9">
      <c r="A60" s="33"/>
      <c r="B60" s="33"/>
      <c r="C60" s="33"/>
      <c r="D60" s="33"/>
      <c r="E60" s="33"/>
      <c r="F60" s="33"/>
      <c r="G60" s="33"/>
      <c r="H60" s="33"/>
      <c r="I60" s="33"/>
    </row>
  </sheetData>
  <mergeCells count="4">
    <mergeCell ref="A1:I1"/>
    <mergeCell ref="A2:I2"/>
    <mergeCell ref="A4:I4"/>
    <mergeCell ref="A14:I14"/>
  </mergeCells>
  <dataValidations count="1">
    <dataValidation type="list" sqref="D16:D22" xr:uid="{00000000-0002-0000-0D00-000000000000}">
      <formula1>"À faire,En cours,Bloqué,Terminé"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Hypothèses</vt:lpstr>
      <vt:lpstr>Ventes</vt:lpstr>
      <vt:lpstr>Unit Economics</vt:lpstr>
      <vt:lpstr>P&amp;L</vt:lpstr>
      <vt:lpstr>Cash Flow</vt:lpstr>
      <vt:lpstr>Financement</vt:lpstr>
      <vt:lpstr>Scénarios</vt:lpstr>
      <vt:lpstr>Sensibilité</vt:lpstr>
      <vt:lpstr>Sources</vt:lpstr>
      <vt:lpstr>Dashboard</vt:lpstr>
      <vt:lpstr>Marché mondial</vt:lpstr>
      <vt:lpstr>GTM International</vt:lpstr>
      <vt:lpstr>SWOT PESTEL</vt:lpstr>
      <vt:lpstr>Plan d'action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levonlara</cp:lastModifiedBy>
  <dcterms:modified xsi:type="dcterms:W3CDTF">2026-10-27T18:58:38Z</dcterms:modified>
</cp:coreProperties>
</file>